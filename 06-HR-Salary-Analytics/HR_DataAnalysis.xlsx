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etal\OneDrive\Desktop\Data Analysis\"/>
    </mc:Choice>
  </mc:AlternateContent>
  <xr:revisionPtr revIDLastSave="0" documentId="13_ncr:1_{2E28186E-41AD-4BF4-9544-68B74CF75FE5}" xr6:coauthVersionLast="47" xr6:coauthVersionMax="47" xr10:uidLastSave="{00000000-0000-0000-0000-000000000000}"/>
  <bookViews>
    <workbookView xWindow="0" yWindow="0" windowWidth="23040" windowHeight="12240" activeTab="1" xr2:uid="{00000000-000D-0000-FFFF-FFFF00000000}"/>
  </bookViews>
  <sheets>
    <sheet name="HRDataset_v14" sheetId="2" r:id="rId1"/>
    <sheet name="Emp Salary Analysis – Summary" sheetId="8" r:id="rId2"/>
    <sheet name="HR Salary Analytics Dashboard" sheetId="10" r:id="rId3"/>
  </sheets>
  <definedNames>
    <definedName name="ExternalData_1" localSheetId="0" hidden="1">HRDataset_v14!$A$1:$AJ$312</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10" l="1"/>
  <c r="AI2" i="10"/>
  <c r="AI1" i="10"/>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L2" i="2"/>
  <c r="AM2" i="2" s="1"/>
  <c r="AL3" i="2"/>
  <c r="AM3" i="2" s="1"/>
  <c r="AL4" i="2"/>
  <c r="AM4" i="2" s="1"/>
  <c r="AL5" i="2"/>
  <c r="AM5" i="2" s="1"/>
  <c r="AL6" i="2"/>
  <c r="AM6" i="2" s="1"/>
  <c r="AL7" i="2"/>
  <c r="AM7" i="2" s="1"/>
  <c r="AL8" i="2"/>
  <c r="AM8" i="2" s="1"/>
  <c r="AL9" i="2"/>
  <c r="AM9" i="2" s="1"/>
  <c r="AL10" i="2"/>
  <c r="AM10" i="2" s="1"/>
  <c r="AL11" i="2"/>
  <c r="AM11" i="2" s="1"/>
  <c r="AL12" i="2"/>
  <c r="AM12" i="2" s="1"/>
  <c r="AL13" i="2"/>
  <c r="AM13" i="2" s="1"/>
  <c r="AL14" i="2"/>
  <c r="AM14" i="2" s="1"/>
  <c r="AL15" i="2"/>
  <c r="AM15" i="2" s="1"/>
  <c r="AL16" i="2"/>
  <c r="AM16" i="2" s="1"/>
  <c r="AL17" i="2"/>
  <c r="AM17" i="2" s="1"/>
  <c r="AL18" i="2"/>
  <c r="AM18" i="2" s="1"/>
  <c r="AL19" i="2"/>
  <c r="AM19" i="2" s="1"/>
  <c r="AL20" i="2"/>
  <c r="AM20" i="2" s="1"/>
  <c r="AL21" i="2"/>
  <c r="AM21" i="2" s="1"/>
  <c r="AL22" i="2"/>
  <c r="AM22" i="2" s="1"/>
  <c r="AL23" i="2"/>
  <c r="AM23" i="2" s="1"/>
  <c r="AL24" i="2"/>
  <c r="AM24" i="2" s="1"/>
  <c r="AL25" i="2"/>
  <c r="AM25" i="2" s="1"/>
  <c r="AL26" i="2"/>
  <c r="AM26" i="2" s="1"/>
  <c r="AL27" i="2"/>
  <c r="AM27" i="2" s="1"/>
  <c r="AL28" i="2"/>
  <c r="AM28" i="2" s="1"/>
  <c r="AL29" i="2"/>
  <c r="AM29" i="2" s="1"/>
  <c r="AL30" i="2"/>
  <c r="AM30" i="2" s="1"/>
  <c r="AL31" i="2"/>
  <c r="AM31" i="2" s="1"/>
  <c r="AL32" i="2"/>
  <c r="AM32" i="2" s="1"/>
  <c r="AL33" i="2"/>
  <c r="AM33" i="2" s="1"/>
  <c r="AL34" i="2"/>
  <c r="AM34" i="2" s="1"/>
  <c r="AL35" i="2"/>
  <c r="AM35" i="2" s="1"/>
  <c r="AL36" i="2"/>
  <c r="AM36" i="2" s="1"/>
  <c r="AL37" i="2"/>
  <c r="AM37" i="2" s="1"/>
  <c r="AL38" i="2"/>
  <c r="AM38" i="2" s="1"/>
  <c r="AL39" i="2"/>
  <c r="AM39" i="2" s="1"/>
  <c r="AL40" i="2"/>
  <c r="AM40" i="2" s="1"/>
  <c r="AL41" i="2"/>
  <c r="AM41" i="2" s="1"/>
  <c r="AL42" i="2"/>
  <c r="AM42" i="2" s="1"/>
  <c r="AL43" i="2"/>
  <c r="AM43" i="2" s="1"/>
  <c r="AL44" i="2"/>
  <c r="AM44" i="2" s="1"/>
  <c r="AL45" i="2"/>
  <c r="AM45" i="2" s="1"/>
  <c r="AL46" i="2"/>
  <c r="AM46" i="2" s="1"/>
  <c r="AL47" i="2"/>
  <c r="AM47" i="2" s="1"/>
  <c r="AL48" i="2"/>
  <c r="AM48" i="2" s="1"/>
  <c r="AL49" i="2"/>
  <c r="AM49" i="2" s="1"/>
  <c r="AL50" i="2"/>
  <c r="AM50" i="2" s="1"/>
  <c r="AL51" i="2"/>
  <c r="AM51" i="2" s="1"/>
  <c r="AL52" i="2"/>
  <c r="AM52" i="2" s="1"/>
  <c r="AL53" i="2"/>
  <c r="AM53" i="2" s="1"/>
  <c r="AL54" i="2"/>
  <c r="AM54" i="2" s="1"/>
  <c r="AL55" i="2"/>
  <c r="AM55" i="2" s="1"/>
  <c r="AL56" i="2"/>
  <c r="AM56" i="2" s="1"/>
  <c r="AL57" i="2"/>
  <c r="AM57" i="2" s="1"/>
  <c r="AL58" i="2"/>
  <c r="AM58" i="2" s="1"/>
  <c r="AL59" i="2"/>
  <c r="AM59" i="2" s="1"/>
  <c r="AL60" i="2"/>
  <c r="AM60" i="2" s="1"/>
  <c r="AL61" i="2"/>
  <c r="AM61" i="2" s="1"/>
  <c r="AL62" i="2"/>
  <c r="AM62" i="2" s="1"/>
  <c r="AL63" i="2"/>
  <c r="AM63" i="2" s="1"/>
  <c r="AL64" i="2"/>
  <c r="AM64" i="2" s="1"/>
  <c r="AL65" i="2"/>
  <c r="AM65" i="2" s="1"/>
  <c r="AL66" i="2"/>
  <c r="AM66" i="2" s="1"/>
  <c r="AL67" i="2"/>
  <c r="AM67" i="2" s="1"/>
  <c r="AL68" i="2"/>
  <c r="AM68" i="2" s="1"/>
  <c r="AL69" i="2"/>
  <c r="AM69" i="2" s="1"/>
  <c r="AL70" i="2"/>
  <c r="AM70" i="2" s="1"/>
  <c r="AL71" i="2"/>
  <c r="AM71" i="2" s="1"/>
  <c r="AL72" i="2"/>
  <c r="AM72" i="2" s="1"/>
  <c r="AL73" i="2"/>
  <c r="AM73" i="2" s="1"/>
  <c r="AL74" i="2"/>
  <c r="AM74" i="2" s="1"/>
  <c r="AL75" i="2"/>
  <c r="AM75" i="2" s="1"/>
  <c r="AL76" i="2"/>
  <c r="AM76" i="2" s="1"/>
  <c r="AL77" i="2"/>
  <c r="AM77" i="2" s="1"/>
  <c r="AL78" i="2"/>
  <c r="AM78" i="2" s="1"/>
  <c r="AL79" i="2"/>
  <c r="AM79" i="2" s="1"/>
  <c r="AL80" i="2"/>
  <c r="AM80" i="2" s="1"/>
  <c r="AL81" i="2"/>
  <c r="AM81" i="2" s="1"/>
  <c r="AL82" i="2"/>
  <c r="AM82" i="2" s="1"/>
  <c r="AL83" i="2"/>
  <c r="AM83" i="2" s="1"/>
  <c r="AL84" i="2"/>
  <c r="AM84" i="2" s="1"/>
  <c r="AL85" i="2"/>
  <c r="AM85" i="2" s="1"/>
  <c r="AL86" i="2"/>
  <c r="AM86" i="2" s="1"/>
  <c r="AL87" i="2"/>
  <c r="AM87" i="2" s="1"/>
  <c r="AL88" i="2"/>
  <c r="AM88" i="2" s="1"/>
  <c r="AL89" i="2"/>
  <c r="AM89" i="2" s="1"/>
  <c r="AL90" i="2"/>
  <c r="AM90" i="2" s="1"/>
  <c r="AL91" i="2"/>
  <c r="AM91" i="2" s="1"/>
  <c r="AL92" i="2"/>
  <c r="AM92" i="2" s="1"/>
  <c r="AL93" i="2"/>
  <c r="AM93" i="2" s="1"/>
  <c r="AL94" i="2"/>
  <c r="AM94" i="2" s="1"/>
  <c r="AL95" i="2"/>
  <c r="AM95" i="2" s="1"/>
  <c r="AL96" i="2"/>
  <c r="AM96" i="2" s="1"/>
  <c r="AL97" i="2"/>
  <c r="AM97" i="2" s="1"/>
  <c r="AL98" i="2"/>
  <c r="AM98" i="2" s="1"/>
  <c r="AL99" i="2"/>
  <c r="AM99" i="2" s="1"/>
  <c r="AL100" i="2"/>
  <c r="AM100" i="2" s="1"/>
  <c r="AL101" i="2"/>
  <c r="AM101" i="2" s="1"/>
  <c r="AL102" i="2"/>
  <c r="AM102" i="2" s="1"/>
  <c r="AL103" i="2"/>
  <c r="AM103" i="2" s="1"/>
  <c r="AL104" i="2"/>
  <c r="AM104" i="2" s="1"/>
  <c r="AL105" i="2"/>
  <c r="AM105" i="2" s="1"/>
  <c r="AL106" i="2"/>
  <c r="AM106" i="2" s="1"/>
  <c r="AL107" i="2"/>
  <c r="AM107" i="2" s="1"/>
  <c r="AL108" i="2"/>
  <c r="AM108" i="2" s="1"/>
  <c r="AL109" i="2"/>
  <c r="AM109" i="2" s="1"/>
  <c r="AL110" i="2"/>
  <c r="AM110" i="2" s="1"/>
  <c r="AL111" i="2"/>
  <c r="AM111" i="2" s="1"/>
  <c r="AL112" i="2"/>
  <c r="AM112" i="2" s="1"/>
  <c r="AL113" i="2"/>
  <c r="AM113" i="2" s="1"/>
  <c r="AL114" i="2"/>
  <c r="AM114" i="2" s="1"/>
  <c r="AL115" i="2"/>
  <c r="AM115" i="2" s="1"/>
  <c r="AL116" i="2"/>
  <c r="AM116" i="2" s="1"/>
  <c r="AL117" i="2"/>
  <c r="AM117" i="2" s="1"/>
  <c r="AL118" i="2"/>
  <c r="AM118" i="2" s="1"/>
  <c r="AL119" i="2"/>
  <c r="AM119" i="2" s="1"/>
  <c r="AL120" i="2"/>
  <c r="AM120" i="2" s="1"/>
  <c r="AL121" i="2"/>
  <c r="AM121" i="2" s="1"/>
  <c r="AL122" i="2"/>
  <c r="AM122" i="2" s="1"/>
  <c r="AL123" i="2"/>
  <c r="AM123" i="2" s="1"/>
  <c r="AL124" i="2"/>
  <c r="AM124" i="2" s="1"/>
  <c r="AL125" i="2"/>
  <c r="AM125" i="2" s="1"/>
  <c r="AL126" i="2"/>
  <c r="AM126" i="2" s="1"/>
  <c r="AL127" i="2"/>
  <c r="AM127" i="2" s="1"/>
  <c r="AL128" i="2"/>
  <c r="AM128" i="2" s="1"/>
  <c r="AL129" i="2"/>
  <c r="AM129" i="2" s="1"/>
  <c r="AL130" i="2"/>
  <c r="AM130" i="2" s="1"/>
  <c r="AL131" i="2"/>
  <c r="AM131" i="2" s="1"/>
  <c r="AL132" i="2"/>
  <c r="AM132" i="2" s="1"/>
  <c r="AL133" i="2"/>
  <c r="AM133" i="2" s="1"/>
  <c r="AL134" i="2"/>
  <c r="AM134" i="2" s="1"/>
  <c r="AL135" i="2"/>
  <c r="AM135" i="2" s="1"/>
  <c r="AL136" i="2"/>
  <c r="AM136" i="2" s="1"/>
  <c r="AL137" i="2"/>
  <c r="AM137" i="2" s="1"/>
  <c r="AL138" i="2"/>
  <c r="AM138" i="2" s="1"/>
  <c r="AL139" i="2"/>
  <c r="AM139" i="2" s="1"/>
  <c r="AL140" i="2"/>
  <c r="AM140" i="2" s="1"/>
  <c r="AL141" i="2"/>
  <c r="AM141" i="2" s="1"/>
  <c r="AL142" i="2"/>
  <c r="AM142" i="2" s="1"/>
  <c r="AL143" i="2"/>
  <c r="AM143" i="2" s="1"/>
  <c r="AL144" i="2"/>
  <c r="AM144" i="2" s="1"/>
  <c r="AL145" i="2"/>
  <c r="AM145" i="2" s="1"/>
  <c r="AL146" i="2"/>
  <c r="AM146" i="2" s="1"/>
  <c r="AL147" i="2"/>
  <c r="AM147" i="2" s="1"/>
  <c r="AL148" i="2"/>
  <c r="AM148" i="2" s="1"/>
  <c r="AL149" i="2"/>
  <c r="AM149" i="2" s="1"/>
  <c r="AL150" i="2"/>
  <c r="AM150" i="2" s="1"/>
  <c r="AL151" i="2"/>
  <c r="AM151" i="2" s="1"/>
  <c r="AL152" i="2"/>
  <c r="AM152" i="2" s="1"/>
  <c r="AL153" i="2"/>
  <c r="AM153" i="2" s="1"/>
  <c r="AL154" i="2"/>
  <c r="AM154" i="2" s="1"/>
  <c r="AL155" i="2"/>
  <c r="AM155" i="2" s="1"/>
  <c r="AL156" i="2"/>
  <c r="AM156" i="2" s="1"/>
  <c r="AL157" i="2"/>
  <c r="AM157" i="2" s="1"/>
  <c r="AL158" i="2"/>
  <c r="AM158" i="2" s="1"/>
  <c r="AL159" i="2"/>
  <c r="AM159" i="2" s="1"/>
  <c r="AL160" i="2"/>
  <c r="AM160" i="2" s="1"/>
  <c r="AL161" i="2"/>
  <c r="AM161" i="2" s="1"/>
  <c r="AL162" i="2"/>
  <c r="AM162" i="2" s="1"/>
  <c r="AL163" i="2"/>
  <c r="AM163" i="2" s="1"/>
  <c r="AL164" i="2"/>
  <c r="AM164" i="2" s="1"/>
  <c r="AL165" i="2"/>
  <c r="AM165" i="2" s="1"/>
  <c r="AL166" i="2"/>
  <c r="AM166" i="2" s="1"/>
  <c r="AL167" i="2"/>
  <c r="AM167" i="2" s="1"/>
  <c r="AL168" i="2"/>
  <c r="AM168" i="2" s="1"/>
  <c r="AL169" i="2"/>
  <c r="AM169" i="2" s="1"/>
  <c r="AL170" i="2"/>
  <c r="AM170" i="2" s="1"/>
  <c r="AL171" i="2"/>
  <c r="AM171" i="2" s="1"/>
  <c r="AL172" i="2"/>
  <c r="AM172" i="2" s="1"/>
  <c r="AL173" i="2"/>
  <c r="AM173" i="2" s="1"/>
  <c r="AL174" i="2"/>
  <c r="AM174" i="2" s="1"/>
  <c r="AL175" i="2"/>
  <c r="AM175" i="2" s="1"/>
  <c r="AL176" i="2"/>
  <c r="AM176" i="2" s="1"/>
  <c r="AL177" i="2"/>
  <c r="AM177" i="2" s="1"/>
  <c r="AL178" i="2"/>
  <c r="AM178" i="2" s="1"/>
  <c r="AL179" i="2"/>
  <c r="AM179" i="2" s="1"/>
  <c r="AL180" i="2"/>
  <c r="AM180" i="2" s="1"/>
  <c r="AL181" i="2"/>
  <c r="AM181" i="2" s="1"/>
  <c r="AL182" i="2"/>
  <c r="AM182" i="2" s="1"/>
  <c r="AL183" i="2"/>
  <c r="AM183" i="2" s="1"/>
  <c r="AL184" i="2"/>
  <c r="AM184" i="2" s="1"/>
  <c r="AL185" i="2"/>
  <c r="AM185" i="2" s="1"/>
  <c r="AL186" i="2"/>
  <c r="AM186" i="2" s="1"/>
  <c r="AL187" i="2"/>
  <c r="AM187" i="2" s="1"/>
  <c r="AL188" i="2"/>
  <c r="AM188" i="2" s="1"/>
  <c r="AL189" i="2"/>
  <c r="AM189" i="2" s="1"/>
  <c r="AL190" i="2"/>
  <c r="AM190" i="2" s="1"/>
  <c r="AL191" i="2"/>
  <c r="AM191" i="2" s="1"/>
  <c r="AL192" i="2"/>
  <c r="AM192" i="2" s="1"/>
  <c r="AL193" i="2"/>
  <c r="AM193" i="2" s="1"/>
  <c r="AL194" i="2"/>
  <c r="AM194" i="2" s="1"/>
  <c r="AL195" i="2"/>
  <c r="AM195" i="2" s="1"/>
  <c r="AL196" i="2"/>
  <c r="AM196" i="2" s="1"/>
  <c r="AL197" i="2"/>
  <c r="AM197" i="2" s="1"/>
  <c r="AL198" i="2"/>
  <c r="AM198" i="2" s="1"/>
  <c r="AL199" i="2"/>
  <c r="AM199" i="2" s="1"/>
  <c r="AL200" i="2"/>
  <c r="AM200" i="2" s="1"/>
  <c r="AL201" i="2"/>
  <c r="AM201" i="2" s="1"/>
  <c r="AL202" i="2"/>
  <c r="AM202" i="2" s="1"/>
  <c r="AL203" i="2"/>
  <c r="AM203" i="2" s="1"/>
  <c r="AL204" i="2"/>
  <c r="AM204" i="2" s="1"/>
  <c r="AL205" i="2"/>
  <c r="AM205" i="2" s="1"/>
  <c r="AL206" i="2"/>
  <c r="AM206" i="2" s="1"/>
  <c r="AL207" i="2"/>
  <c r="AM207" i="2" s="1"/>
  <c r="AL208" i="2"/>
  <c r="AM208" i="2" s="1"/>
  <c r="AL209" i="2"/>
  <c r="AM209" i="2" s="1"/>
  <c r="AL210" i="2"/>
  <c r="AM210" i="2" s="1"/>
  <c r="AL211" i="2"/>
  <c r="AM211" i="2" s="1"/>
  <c r="AL212" i="2"/>
  <c r="AM212" i="2" s="1"/>
  <c r="AL213" i="2"/>
  <c r="AM213" i="2" s="1"/>
  <c r="AL214" i="2"/>
  <c r="AM214" i="2" s="1"/>
  <c r="AL215" i="2"/>
  <c r="AM215" i="2" s="1"/>
  <c r="AL216" i="2"/>
  <c r="AM216" i="2" s="1"/>
  <c r="AL217" i="2"/>
  <c r="AM217" i="2" s="1"/>
  <c r="AL218" i="2"/>
  <c r="AM218" i="2" s="1"/>
  <c r="AL219" i="2"/>
  <c r="AM219" i="2" s="1"/>
  <c r="AL220" i="2"/>
  <c r="AM220" i="2" s="1"/>
  <c r="AL221" i="2"/>
  <c r="AM221" i="2" s="1"/>
  <c r="AL222" i="2"/>
  <c r="AM222" i="2" s="1"/>
  <c r="AL223" i="2"/>
  <c r="AM223" i="2" s="1"/>
  <c r="AL224" i="2"/>
  <c r="AM224" i="2" s="1"/>
  <c r="AL225" i="2"/>
  <c r="AM225" i="2" s="1"/>
  <c r="AL226" i="2"/>
  <c r="AM226" i="2" s="1"/>
  <c r="AL227" i="2"/>
  <c r="AM227" i="2" s="1"/>
  <c r="AL228" i="2"/>
  <c r="AM228" i="2" s="1"/>
  <c r="AL229" i="2"/>
  <c r="AM229" i="2" s="1"/>
  <c r="AL230" i="2"/>
  <c r="AM230" i="2" s="1"/>
  <c r="AL231" i="2"/>
  <c r="AM231" i="2" s="1"/>
  <c r="AL232" i="2"/>
  <c r="AM232" i="2" s="1"/>
  <c r="AL233" i="2"/>
  <c r="AM233" i="2" s="1"/>
  <c r="AL234" i="2"/>
  <c r="AM234" i="2" s="1"/>
  <c r="AL235" i="2"/>
  <c r="AM235" i="2" s="1"/>
  <c r="AL236" i="2"/>
  <c r="AM236" i="2" s="1"/>
  <c r="AL237" i="2"/>
  <c r="AM237" i="2" s="1"/>
  <c r="AL238" i="2"/>
  <c r="AM238" i="2" s="1"/>
  <c r="AL239" i="2"/>
  <c r="AM239" i="2" s="1"/>
  <c r="AL240" i="2"/>
  <c r="AM240" i="2" s="1"/>
  <c r="AL241" i="2"/>
  <c r="AM241" i="2" s="1"/>
  <c r="AL242" i="2"/>
  <c r="AM242" i="2" s="1"/>
  <c r="AL243" i="2"/>
  <c r="AM243" i="2" s="1"/>
  <c r="AL244" i="2"/>
  <c r="AM244" i="2" s="1"/>
  <c r="AL245" i="2"/>
  <c r="AM245" i="2" s="1"/>
  <c r="AL246" i="2"/>
  <c r="AM246" i="2" s="1"/>
  <c r="AL247" i="2"/>
  <c r="AM247" i="2" s="1"/>
  <c r="AL248" i="2"/>
  <c r="AM248" i="2" s="1"/>
  <c r="AL249" i="2"/>
  <c r="AM249" i="2" s="1"/>
  <c r="AL250" i="2"/>
  <c r="AM250" i="2" s="1"/>
  <c r="AL251" i="2"/>
  <c r="AM251" i="2" s="1"/>
  <c r="AL252" i="2"/>
  <c r="AM252" i="2" s="1"/>
  <c r="AL253" i="2"/>
  <c r="AM253" i="2" s="1"/>
  <c r="AL254" i="2"/>
  <c r="AM254" i="2" s="1"/>
  <c r="AL255" i="2"/>
  <c r="AM255" i="2" s="1"/>
  <c r="AL256" i="2"/>
  <c r="AM256" i="2" s="1"/>
  <c r="AL257" i="2"/>
  <c r="AM257" i="2" s="1"/>
  <c r="AL258" i="2"/>
  <c r="AM258" i="2" s="1"/>
  <c r="AL259" i="2"/>
  <c r="AM259" i="2" s="1"/>
  <c r="AL260" i="2"/>
  <c r="AM260" i="2" s="1"/>
  <c r="AL261" i="2"/>
  <c r="AM261" i="2" s="1"/>
  <c r="AL262" i="2"/>
  <c r="AM262" i="2" s="1"/>
  <c r="AL263" i="2"/>
  <c r="AM263" i="2" s="1"/>
  <c r="AL264" i="2"/>
  <c r="AM264" i="2" s="1"/>
  <c r="AL265" i="2"/>
  <c r="AM265" i="2" s="1"/>
  <c r="AL266" i="2"/>
  <c r="AM266" i="2" s="1"/>
  <c r="AL267" i="2"/>
  <c r="AM267" i="2" s="1"/>
  <c r="AL268" i="2"/>
  <c r="AM268" i="2" s="1"/>
  <c r="AL269" i="2"/>
  <c r="AM269" i="2" s="1"/>
  <c r="AL270" i="2"/>
  <c r="AM270" i="2" s="1"/>
  <c r="AL271" i="2"/>
  <c r="AM271" i="2" s="1"/>
  <c r="AL272" i="2"/>
  <c r="AM272" i="2" s="1"/>
  <c r="AL273" i="2"/>
  <c r="AM273" i="2" s="1"/>
  <c r="AL274" i="2"/>
  <c r="AM274" i="2" s="1"/>
  <c r="AL275" i="2"/>
  <c r="AM275" i="2" s="1"/>
  <c r="AL276" i="2"/>
  <c r="AM276" i="2" s="1"/>
  <c r="AL277" i="2"/>
  <c r="AM277" i="2" s="1"/>
  <c r="AL278" i="2"/>
  <c r="AM278" i="2" s="1"/>
  <c r="AL279" i="2"/>
  <c r="AM279" i="2" s="1"/>
  <c r="AL280" i="2"/>
  <c r="AM280" i="2" s="1"/>
  <c r="AL281" i="2"/>
  <c r="AM281" i="2" s="1"/>
  <c r="AL282" i="2"/>
  <c r="AM282" i="2" s="1"/>
  <c r="AL283" i="2"/>
  <c r="AM283" i="2" s="1"/>
  <c r="AL284" i="2"/>
  <c r="AM284" i="2" s="1"/>
  <c r="AL285" i="2"/>
  <c r="AM285" i="2" s="1"/>
  <c r="AL286" i="2"/>
  <c r="AM286" i="2" s="1"/>
  <c r="AL287" i="2"/>
  <c r="AM287" i="2" s="1"/>
  <c r="AL288" i="2"/>
  <c r="AM288" i="2" s="1"/>
  <c r="AL289" i="2"/>
  <c r="AM289" i="2" s="1"/>
  <c r="AL290" i="2"/>
  <c r="AM290" i="2" s="1"/>
  <c r="AL291" i="2"/>
  <c r="AM291" i="2" s="1"/>
  <c r="AL292" i="2"/>
  <c r="AM292" i="2" s="1"/>
  <c r="AL293" i="2"/>
  <c r="AM293" i="2" s="1"/>
  <c r="AL294" i="2"/>
  <c r="AM294" i="2" s="1"/>
  <c r="AL295" i="2"/>
  <c r="AM295" i="2" s="1"/>
  <c r="AL296" i="2"/>
  <c r="AM296" i="2" s="1"/>
  <c r="AL297" i="2"/>
  <c r="AM297" i="2" s="1"/>
  <c r="AL298" i="2"/>
  <c r="AM298" i="2" s="1"/>
  <c r="AL299" i="2"/>
  <c r="AM299" i="2" s="1"/>
  <c r="AL300" i="2"/>
  <c r="AM300" i="2" s="1"/>
  <c r="AL301" i="2"/>
  <c r="AM301" i="2" s="1"/>
  <c r="AL302" i="2"/>
  <c r="AM302" i="2" s="1"/>
  <c r="AL303" i="2"/>
  <c r="AM303" i="2" s="1"/>
  <c r="AL304" i="2"/>
  <c r="AM304" i="2" s="1"/>
  <c r="AL305" i="2"/>
  <c r="AM305" i="2" s="1"/>
  <c r="AL306" i="2"/>
  <c r="AM306" i="2" s="1"/>
  <c r="AL307" i="2"/>
  <c r="AM307" i="2" s="1"/>
  <c r="AL308" i="2"/>
  <c r="AM308" i="2" s="1"/>
  <c r="AL309" i="2"/>
  <c r="AM309" i="2" s="1"/>
  <c r="AL310" i="2"/>
  <c r="AM310" i="2" s="1"/>
  <c r="AL311" i="2"/>
  <c r="AM311" i="2" s="1"/>
  <c r="AL312" i="2"/>
  <c r="AM312" i="2" s="1"/>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DE7F6-B9E6-4E77-88D3-E7A18CB1A190}" keepAlive="1" name="Query - HRDataset_v14" description="Connection to the 'HRDataset_v14' query in the workbook." type="5" refreshedVersion="8" background="1" saveData="1">
    <dbPr connection="Provider=Microsoft.Mashup.OleDb.1;Data Source=$Workbook$;Location=HRDataset_v14;Extended Properties=&quot;&quot;" command="SELECT * FROM [HRDataset_v14]"/>
  </connection>
</connections>
</file>

<file path=xl/sharedStrings.xml><?xml version="1.0" encoding="utf-8"?>
<sst xmlns="http://schemas.openxmlformats.org/spreadsheetml/2006/main" count="4443" uniqueCount="506">
  <si>
    <t>Employee_Name</t>
  </si>
  <si>
    <t>Emp_ID</t>
  </si>
  <si>
    <t>Married_ID</t>
  </si>
  <si>
    <t>MaritalStatusI_D</t>
  </si>
  <si>
    <t>Gender_ID</t>
  </si>
  <si>
    <t>EmpStatus_ID</t>
  </si>
  <si>
    <t>Dept_ID</t>
  </si>
  <si>
    <t>PerfScore_ID</t>
  </si>
  <si>
    <t>FromDiversityJobFair_ID</t>
  </si>
  <si>
    <t>Salary</t>
  </si>
  <si>
    <t>Termd</t>
  </si>
  <si>
    <t>Position_ID</t>
  </si>
  <si>
    <t>Position_Name</t>
  </si>
  <si>
    <t>State</t>
  </si>
  <si>
    <t>Zip</t>
  </si>
  <si>
    <t>DOB</t>
  </si>
  <si>
    <t>Gender</t>
  </si>
  <si>
    <t>Marital_Status</t>
  </si>
  <si>
    <t>Citizen_Desc</t>
  </si>
  <si>
    <t>HispanicLatino</t>
  </si>
  <si>
    <t>Race_Desc</t>
  </si>
  <si>
    <t>Hire_Date</t>
  </si>
  <si>
    <t>Termination_Date</t>
  </si>
  <si>
    <t>Term_Reason</t>
  </si>
  <si>
    <t>Employment_Status</t>
  </si>
  <si>
    <t>Department_Name</t>
  </si>
  <si>
    <t>Manager_Name</t>
  </si>
  <si>
    <t>Manager_ID</t>
  </si>
  <si>
    <t>Recruitment_Source</t>
  </si>
  <si>
    <t>Performance_Score</t>
  </si>
  <si>
    <t>Engagement_Survey</t>
  </si>
  <si>
    <t>Emp_Satisfaction</t>
  </si>
  <si>
    <t>SpecialProjects_Count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</si>
  <si>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</si>
  <si>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</si>
  <si>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</si>
  <si>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</si>
  <si>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</si>
  <si>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</si>
  <si>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</si>
  <si>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</si>
  <si>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</si>
  <si>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</si>
  <si>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</si>
  <si>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</si>
  <si>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</si>
  <si>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</si>
  <si>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</si>
  <si>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</si>
  <si>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</si>
  <si>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</si>
  <si>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</si>
  <si>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</si>
  <si>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</si>
  <si>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</si>
  <si>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</si>
  <si>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</si>
  <si>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</si>
  <si>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</si>
  <si>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</si>
  <si>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</si>
  <si>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</si>
  <si>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</si>
  <si>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</si>
  <si>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</si>
  <si>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</si>
  <si>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</si>
  <si>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</si>
  <si>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</si>
  <si>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</si>
  <si>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</si>
  <si>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</si>
  <si>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</si>
  <si>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</si>
  <si>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</si>
  <si>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</si>
  <si>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</si>
  <si>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</si>
  <si>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</si>
  <si>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</si>
  <si>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</si>
  <si>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</si>
  <si>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</si>
  <si>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</si>
  <si>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</si>
  <si>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</si>
  <si>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</si>
  <si>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</si>
  <si>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</si>
  <si>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</si>
  <si>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</si>
  <si>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</si>
  <si>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</si>
  <si>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</si>
  <si>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</si>
  <si>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</si>
  <si>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</si>
  <si>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</si>
  <si>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</si>
  <si>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</si>
  <si>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</si>
  <si>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</si>
  <si>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</si>
  <si>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</si>
  <si>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</si>
  <si>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</si>
  <si>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</si>
  <si>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</si>
  <si>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</si>
  <si>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</si>
  <si>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</si>
  <si>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</si>
  <si>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</si>
  <si>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</si>
  <si>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</si>
  <si>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</si>
  <si>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</si>
  <si>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</si>
  <si>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</si>
  <si>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</si>
  <si>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</si>
  <si>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</si>
  <si>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</si>
  <si>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</si>
  <si>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</si>
  <si>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</si>
  <si>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</si>
  <si>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</si>
  <si>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</si>
  <si>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</si>
  <si>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</si>
  <si>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</si>
  <si>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</si>
  <si>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</si>
  <si>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</si>
  <si>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</si>
  <si>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</si>
  <si>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</si>
  <si>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</si>
  <si>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</si>
  <si>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</si>
  <si>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</si>
  <si>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</si>
  <si>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</si>
  <si>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</si>
  <si>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</si>
  <si>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</si>
  <si>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</si>
  <si>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</si>
  <si>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</si>
  <si>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</si>
  <si>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</si>
  <si>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</si>
  <si>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</si>
  <si>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</si>
  <si>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</si>
  <si>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</si>
  <si>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</si>
  <si>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</si>
  <si>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</si>
  <si>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</si>
  <si>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</si>
  <si>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</si>
  <si>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</si>
  <si>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</si>
  <si>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</si>
  <si>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</si>
  <si>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</si>
  <si>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</si>
  <si>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</si>
  <si>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</si>
  <si>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</si>
  <si>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</si>
  <si>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</si>
  <si>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</si>
  <si>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</si>
  <si>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</si>
  <si>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</si>
  <si>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</si>
  <si>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</si>
  <si>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</si>
  <si>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</si>
  <si>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</si>
  <si>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</si>
  <si>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</si>
  <si>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</si>
  <si>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</si>
  <si>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</si>
  <si>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</si>
  <si>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</si>
  <si>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</si>
  <si>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</si>
  <si>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</si>
  <si>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</si>
  <si>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</si>
  <si>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</si>
  <si>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</si>
  <si>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</si>
  <si>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</si>
  <si>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</si>
  <si>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</si>
  <si>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</si>
  <si>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</si>
  <si>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</si>
  <si>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</si>
  <si>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</si>
  <si>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</si>
  <si>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</si>
  <si>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</si>
  <si>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</si>
  <si>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</si>
  <si>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</si>
  <si>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</si>
  <si>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</si>
  <si>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</si>
  <si>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</si>
  <si>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</si>
  <si>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</si>
  <si>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</si>
  <si>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</si>
  <si>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</si>
  <si>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</si>
  <si>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</si>
  <si>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</si>
  <si>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</si>
  <si>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</si>
  <si>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</si>
  <si>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</si>
  <si>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</si>
  <si>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</si>
  <si>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</si>
  <si>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</si>
  <si>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</si>
  <si>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</si>
  <si>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</si>
  <si>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</si>
  <si>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</si>
  <si>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</si>
  <si>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</si>
  <si>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</si>
  <si>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</si>
  <si>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</si>
  <si>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</si>
  <si>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</si>
  <si>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</si>
  <si>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</si>
  <si>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</si>
  <si>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</si>
  <si>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</si>
  <si>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</si>
  <si>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</si>
  <si>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</si>
  <si>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</si>
  <si>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</si>
  <si>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</si>
  <si>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</si>
  <si>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</si>
  <si>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</si>
  <si>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</si>
  <si>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</si>
  <si>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</si>
  <si>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</si>
  <si>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</si>
  <si>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</si>
  <si>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</si>
  <si>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</si>
  <si>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</si>
  <si>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</si>
  <si>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</si>
  <si>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</si>
  <si>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</si>
  <si>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</si>
  <si>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</si>
  <si>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</si>
  <si>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</si>
  <si>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</si>
  <si>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</si>
  <si>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</si>
  <si>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</si>
  <si>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</si>
  <si>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</si>
  <si>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</si>
  <si>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</si>
  <si>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</si>
  <si>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</si>
  <si>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</si>
  <si>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</si>
  <si>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</si>
  <si>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</si>
  <si>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</si>
  <si>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</si>
  <si>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</si>
  <si>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</si>
  <si>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</si>
  <si>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</si>
  <si>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</si>
  <si>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</si>
  <si>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</si>
  <si>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</si>
  <si>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</si>
  <si>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</si>
  <si>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</si>
  <si>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</si>
  <si>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</si>
  <si>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</si>
  <si>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</si>
  <si>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</si>
  <si>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</si>
  <si>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</si>
  <si>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</si>
  <si>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</si>
  <si>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</si>
  <si>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</si>
  <si>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</si>
  <si>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</si>
  <si>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</si>
  <si>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</si>
  <si>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</si>
  <si>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</si>
  <si>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</si>
  <si>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</si>
  <si>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</si>
  <si>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</si>
  <si>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</si>
  <si>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</si>
  <si>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</si>
  <si>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</si>
  <si>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</si>
  <si>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</si>
  <si>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</si>
  <si>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</si>
  <si>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</si>
  <si>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</si>
  <si>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</si>
  <si>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</si>
  <si>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</si>
  <si>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</si>
  <si>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</si>
  <si>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</si>
  <si>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</si>
  <si>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</si>
  <si>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</si>
  <si>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</si>
  <si>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</si>
  <si>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</si>
  <si>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</si>
  <si>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</si>
  <si>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</si>
  <si>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</si>
  <si>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</si>
  <si>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</si>
  <si>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</si>
  <si>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</si>
  <si>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</si>
  <si>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</si>
  <si>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</si>
  <si>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</si>
  <si>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</si>
  <si>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</si>
  <si>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</si>
  <si>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</si>
  <si>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</si>
  <si>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</si>
  <si>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</si>
  <si>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</si>
  <si>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</si>
  <si>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</si>
  <si>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</si>
  <si>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</si>
  <si>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</si>
  <si>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</si>
  <si>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</si>
  <si>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</si>
  <si>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</si>
  <si>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</si>
  <si>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</si>
  <si>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</si>
  <si>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</si>
  <si>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</si>
  <si>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</si>
  <si>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</si>
  <si>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</si>
  <si>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</si>
  <si>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</si>
  <si>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</si>
  <si>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</si>
  <si>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</si>
  <si>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</si>
  <si>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</si>
  <si>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</si>
  <si>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</si>
  <si>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</si>
  <si>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</si>
  <si>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</si>
  <si>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</si>
  <si>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</si>
  <si>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</si>
  <si>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</si>
  <si>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</si>
  <si>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</si>
  <si>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</si>
  <si>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</si>
  <si>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</si>
  <si>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</si>
  <si>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</si>
  <si>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</si>
  <si>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</si>
  <si>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</si>
  <si>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</si>
  <si>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</si>
  <si>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</si>
  <si>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</si>
  <si>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</si>
  <si>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</si>
  <si>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</si>
  <si>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</si>
  <si>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</si>
  <si>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</si>
  <si>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</si>
  <si>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</si>
  <si>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</si>
  <si>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</si>
  <si>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</si>
  <si>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</si>
  <si>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</si>
  <si>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</si>
  <si>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</si>
  <si>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</si>
  <si>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</si>
  <si>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</si>
  <si>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</si>
  <si>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</si>
  <si>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</si>
  <si>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</si>
  <si>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</si>
  <si>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</si>
  <si>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</si>
  <si>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</si>
  <si>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</si>
  <si>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</si>
  <si>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</si>
  <si>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</si>
  <si>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</si>
  <si>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</si>
  <si>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</si>
  <si>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</si>
  <si>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</si>
  <si>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</si>
  <si>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</si>
  <si>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</si>
  <si>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</si>
  <si>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</si>
  <si>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</si>
  <si>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</si>
  <si>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</si>
  <si>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</si>
  <si>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</si>
  <si>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</si>
  <si>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</si>
  <si>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</si>
  <si>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</si>
  <si>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</si>
  <si>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</si>
  <si>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</si>
  <si>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</si>
  <si>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</si>
  <si>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</si>
  <si>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</si>
  <si>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</si>
  <si>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</si>
  <si>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</si>
  <si>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</si>
  <si>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</si>
  <si>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</si>
  <si>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</si>
  <si>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</si>
  <si>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</si>
  <si>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</si>
  <si>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</si>
  <si>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</si>
  <si>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</si>
  <si>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</si>
  <si>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</si>
  <si>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</si>
  <si>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</si>
  <si>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</si>
  <si>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</si>
  <si>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</si>
  <si>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Row Labels</t>
  </si>
  <si>
    <t>Grand Total</t>
  </si>
  <si>
    <t>Department Name</t>
  </si>
  <si>
    <t>Role_Type</t>
  </si>
  <si>
    <t>Average of Salary</t>
  </si>
  <si>
    <t>Average Salary By Department</t>
  </si>
  <si>
    <t>Average Salary by Gender</t>
  </si>
  <si>
    <t>Position Name</t>
  </si>
  <si>
    <t>Tenure_Years</t>
  </si>
  <si>
    <t>Tenure_Group</t>
  </si>
  <si>
    <t>Salary vs Performance Rating</t>
  </si>
  <si>
    <t>Position_Level</t>
  </si>
  <si>
    <t>Manager</t>
  </si>
  <si>
    <t>Technician</t>
  </si>
  <si>
    <t>Manager vs Technician Salary Comparison</t>
  </si>
  <si>
    <t>Employee Salary Analysis – Summary</t>
  </si>
  <si>
    <t>Top 5 Highest Paying Job Roles</t>
  </si>
  <si>
    <t>Bottom 5 Lowest Paying Job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</si>
</sst>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164" fontId="0" fillId="0" borderId="0" xfId="0" applyNumberFormat="1"/>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64" formatCode="&quot;$&quot;#,##0.00"/>
    </dxf>
    <dxf>
      <numFmt numFmtId="164" formatCode="&quot;$&quot;#,##0.00"/>
    </dxf>
    <dxf>
      <numFmt numFmtId="2"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Summary'!$B$5</c:f>
              <c:strCache>
                <c:ptCount val="1"/>
                <c:pt idx="0">
                  <c:v>Total</c:v>
                </c:pt>
              </c:strCache>
            </c:strRef>
          </c:tx>
          <c:spPr>
            <a:solidFill>
              <a:srgbClr val="0070C0"/>
            </a:solidFill>
            <a:ln>
              <a:noFill/>
            </a:ln>
            <a:effectLst/>
          </c:spPr>
          <c:invertIfNegative val="0"/>
          <c:cat>
            <c:strRef>
              <c:f>'Emp Salary Analysis – Summary'!$A$6:$A$12</c:f>
              <c:strCache>
                <c:ptCount val="6"/>
                <c:pt idx="0">
                  <c:v>Executive Office</c:v>
                </c:pt>
                <c:pt idx="1">
                  <c:v>IT/IS</c:v>
                </c:pt>
                <c:pt idx="2">
                  <c:v>Software Engineering</c:v>
                </c:pt>
                <c:pt idx="3">
                  <c:v>Admin Offices</c:v>
                </c:pt>
                <c:pt idx="4">
                  <c:v>Sales</c:v>
                </c:pt>
                <c:pt idx="5">
                  <c:v>Production       </c:v>
                </c:pt>
              </c:strCache>
            </c:strRef>
          </c:cat>
          <c:val>
            <c:numRef>
              <c:f>'Emp Salary Analysis – Summary'!$B$6:$B$12</c:f>
              <c:numCache>
                <c:formatCode>"$"#,##0.00</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98E9-4226-B07E-12995FE30AFE}"/>
            </c:ext>
          </c:extLst>
        </c:ser>
        <c:dLbls>
          <c:showLegendKey val="0"/>
          <c:showVal val="0"/>
          <c:showCatName val="0"/>
          <c:showSerName val="0"/>
          <c:showPercent val="0"/>
          <c:showBubbleSize val="0"/>
        </c:dLbls>
        <c:gapWidth val="219"/>
        <c:overlap val="-27"/>
        <c:axId val="1322198831"/>
        <c:axId val="1322195471"/>
      </c:barChart>
      <c:catAx>
        <c:axId val="1322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5471"/>
        <c:crosses val="autoZero"/>
        <c:auto val="1"/>
        <c:lblAlgn val="ctr"/>
        <c:lblOffset val="100"/>
        <c:noMultiLvlLbl val="0"/>
      </c:catAx>
      <c:valAx>
        <c:axId val="132219547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Highest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4835002902519"/>
          <c:y val="0.19257528556593978"/>
          <c:w val="0.60993356454261738"/>
          <c:h val="0.68697680313325316"/>
        </c:manualLayout>
      </c:layout>
      <c:barChart>
        <c:barDir val="bar"/>
        <c:grouping val="clustered"/>
        <c:varyColors val="0"/>
        <c:ser>
          <c:idx val="0"/>
          <c:order val="0"/>
          <c:tx>
            <c:strRef>
              <c:f>'Emp Salary Analysis – Summary'!$E$5</c:f>
              <c:strCache>
                <c:ptCount val="1"/>
                <c:pt idx="0">
                  <c:v>Total</c:v>
                </c:pt>
              </c:strCache>
            </c:strRef>
          </c:tx>
          <c:spPr>
            <a:solidFill>
              <a:srgbClr val="0070C0"/>
            </a:solidFill>
            <a:ln>
              <a:noFill/>
            </a:ln>
            <a:effectLst/>
          </c:spPr>
          <c:invertIfNegative val="0"/>
          <c:cat>
            <c:strRef>
              <c:f>'Emp Salary Analysis – Summary'!$D$6:$D$11</c:f>
              <c:strCache>
                <c:ptCount val="5"/>
                <c:pt idx="0">
                  <c:v>President &amp; CEO</c:v>
                </c:pt>
                <c:pt idx="1">
                  <c:v>CIO</c:v>
                </c:pt>
                <c:pt idx="2">
                  <c:v>Director of Sales</c:v>
                </c:pt>
                <c:pt idx="3">
                  <c:v>IT Director</c:v>
                </c:pt>
                <c:pt idx="4">
                  <c:v>Director of Operations</c:v>
                </c:pt>
              </c:strCache>
            </c:strRef>
          </c:cat>
          <c:val>
            <c:numRef>
              <c:f>'Emp Salary Analysis – Summary'!$E$6:$E$11</c:f>
              <c:numCache>
                <c:formatCode>"$"#,##0.00</c:formatCode>
                <c:ptCount val="5"/>
                <c:pt idx="0">
                  <c:v>250000</c:v>
                </c:pt>
                <c:pt idx="1">
                  <c:v>220450</c:v>
                </c:pt>
                <c:pt idx="2">
                  <c:v>180000</c:v>
                </c:pt>
                <c:pt idx="3">
                  <c:v>178000</c:v>
                </c:pt>
                <c:pt idx="4">
                  <c:v>170500</c:v>
                </c:pt>
              </c:numCache>
            </c:numRef>
          </c:val>
          <c:extLst>
            <c:ext xmlns:c16="http://schemas.microsoft.com/office/drawing/2014/chart" uri="{C3380CC4-5D6E-409C-BE32-E72D297353CC}">
              <c16:uniqueId val="{00000000-985F-4517-A424-A0F7F8191608}"/>
            </c:ext>
          </c:extLst>
        </c:ser>
        <c:dLbls>
          <c:showLegendKey val="0"/>
          <c:showVal val="0"/>
          <c:showCatName val="0"/>
          <c:showSerName val="0"/>
          <c:showPercent val="0"/>
          <c:showBubbleSize val="0"/>
        </c:dLbls>
        <c:gapWidth val="182"/>
        <c:axId val="1134111103"/>
        <c:axId val="1134116863"/>
      </c:barChart>
      <c:catAx>
        <c:axId val="1134111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6863"/>
        <c:crosses val="autoZero"/>
        <c:auto val="1"/>
        <c:lblAlgn val="ctr"/>
        <c:lblOffset val="100"/>
        <c:noMultiLvlLbl val="0"/>
      </c:catAx>
      <c:valAx>
        <c:axId val="1134116863"/>
        <c:scaling>
          <c:orientation val="minMax"/>
        </c:scaling>
        <c:delete val="0"/>
        <c:axPos val="t"/>
        <c:numFmt formatCode="&quot;$&quot;0,&quot;K&quot;" sourceLinked="0"/>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5 Lowest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6664890572895"/>
          <c:y val="0.26328484981044037"/>
          <c:w val="0.56701473171116767"/>
          <c:h val="0.6293157626130067"/>
        </c:manualLayout>
      </c:layout>
      <c:barChart>
        <c:barDir val="bar"/>
        <c:grouping val="clustered"/>
        <c:varyColors val="0"/>
        <c:ser>
          <c:idx val="0"/>
          <c:order val="0"/>
          <c:tx>
            <c:strRef>
              <c:f>'Emp Salary Analysis – Summary'!$H$5</c:f>
              <c:strCache>
                <c:ptCount val="1"/>
                <c:pt idx="0">
                  <c:v>Total</c:v>
                </c:pt>
              </c:strCache>
            </c:strRef>
          </c:tx>
          <c:spPr>
            <a:solidFill>
              <a:srgbClr val="0070C0"/>
            </a:solidFill>
            <a:ln>
              <a:noFill/>
            </a:ln>
            <a:effectLst/>
          </c:spPr>
          <c:invertIfNegative val="0"/>
          <c:cat>
            <c:strRef>
              <c:f>'Emp Salary Analysis – Summary'!$G$6:$G$11</c:f>
              <c:strCache>
                <c:ptCount val="5"/>
                <c:pt idx="0">
                  <c:v>Administrative Assistant</c:v>
                </c:pt>
                <c:pt idx="1">
                  <c:v>Production Technician I</c:v>
                </c:pt>
                <c:pt idx="2">
                  <c:v>Network Engineer</c:v>
                </c:pt>
                <c:pt idx="3">
                  <c:v>Accountant I</c:v>
                </c:pt>
                <c:pt idx="4">
                  <c:v>IT Support</c:v>
                </c:pt>
              </c:strCache>
            </c:strRef>
          </c:cat>
          <c:val>
            <c:numRef>
              <c:f>'Emp Salary Analysis – Summary'!$H$6:$H$11</c:f>
              <c:numCache>
                <c:formatCode>"$"#,##0.00</c:formatCode>
                <c:ptCount val="5"/>
                <c:pt idx="0">
                  <c:v>52280</c:v>
                </c:pt>
                <c:pt idx="1">
                  <c:v>55524.175182481755</c:v>
                </c:pt>
                <c:pt idx="2">
                  <c:v>61605</c:v>
                </c:pt>
                <c:pt idx="3">
                  <c:v>63507.666666666664</c:v>
                </c:pt>
                <c:pt idx="4">
                  <c:v>63684.375</c:v>
                </c:pt>
              </c:numCache>
            </c:numRef>
          </c:val>
          <c:extLst>
            <c:ext xmlns:c16="http://schemas.microsoft.com/office/drawing/2014/chart" uri="{C3380CC4-5D6E-409C-BE32-E72D297353CC}">
              <c16:uniqueId val="{00000000-7145-48FD-9C44-29C77B5F00B1}"/>
            </c:ext>
          </c:extLst>
        </c:ser>
        <c:dLbls>
          <c:showLegendKey val="0"/>
          <c:showVal val="0"/>
          <c:showCatName val="0"/>
          <c:showSerName val="0"/>
          <c:showPercent val="0"/>
          <c:showBubbleSize val="0"/>
        </c:dLbls>
        <c:gapWidth val="182"/>
        <c:axId val="1322197871"/>
        <c:axId val="1116405951"/>
      </c:barChart>
      <c:catAx>
        <c:axId val="132219787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05951"/>
        <c:crosses val="autoZero"/>
        <c:auto val="1"/>
        <c:lblAlgn val="ctr"/>
        <c:lblOffset val="100"/>
        <c:noMultiLvlLbl val="0"/>
      </c:catAx>
      <c:valAx>
        <c:axId val="1116405951"/>
        <c:scaling>
          <c:orientation val="minMax"/>
        </c:scaling>
        <c:delete val="0"/>
        <c:axPos val="t"/>
        <c:numFmt formatCode="&quot;$&quot;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vs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Summary'!$B$19</c:f>
              <c:strCache>
                <c:ptCount val="1"/>
                <c:pt idx="0">
                  <c:v>Total</c:v>
                </c:pt>
              </c:strCache>
            </c:strRef>
          </c:tx>
          <c:spPr>
            <a:solidFill>
              <a:srgbClr val="0070C0"/>
            </a:solidFill>
            <a:ln>
              <a:noFill/>
            </a:ln>
            <a:effectLst/>
          </c:spPr>
          <c:invertIfNegative val="0"/>
          <c:cat>
            <c:strRef>
              <c:f>'Emp Salary Analysis – Summary'!$A$20:$A$24</c:f>
              <c:strCache>
                <c:ptCount val="4"/>
                <c:pt idx="0">
                  <c:v>Exceeds</c:v>
                </c:pt>
                <c:pt idx="1">
                  <c:v>Needs Improvement</c:v>
                </c:pt>
                <c:pt idx="2">
                  <c:v>Fully Meets</c:v>
                </c:pt>
                <c:pt idx="3">
                  <c:v>PIP</c:v>
                </c:pt>
              </c:strCache>
            </c:strRef>
          </c:cat>
          <c:val>
            <c:numRef>
              <c:f>'Emp Salary Analysis – Summary'!$B$20:$B$24</c:f>
              <c:numCache>
                <c:formatCode>"$"#,##0.00</c:formatCode>
                <c:ptCount val="4"/>
                <c:pt idx="0">
                  <c:v>77144.864864864867</c:v>
                </c:pt>
                <c:pt idx="1">
                  <c:v>68407.555555555562</c:v>
                </c:pt>
                <c:pt idx="2">
                  <c:v>68366.720164609054</c:v>
                </c:pt>
                <c:pt idx="3">
                  <c:v>58971.076923076922</c:v>
                </c:pt>
              </c:numCache>
            </c:numRef>
          </c:val>
          <c:extLst>
            <c:ext xmlns:c16="http://schemas.microsoft.com/office/drawing/2014/chart" uri="{C3380CC4-5D6E-409C-BE32-E72D297353CC}">
              <c16:uniqueId val="{00000000-7CCB-4788-A664-CE903FE79A4D}"/>
            </c:ext>
          </c:extLst>
        </c:ser>
        <c:dLbls>
          <c:showLegendKey val="0"/>
          <c:showVal val="0"/>
          <c:showCatName val="0"/>
          <c:showSerName val="0"/>
          <c:showPercent val="0"/>
          <c:showBubbleSize val="0"/>
        </c:dLbls>
        <c:gapWidth val="219"/>
        <c:overlap val="-27"/>
        <c:axId val="1322188687"/>
        <c:axId val="1322189167"/>
      </c:barChart>
      <c:catAx>
        <c:axId val="13221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9167"/>
        <c:crosses val="autoZero"/>
        <c:auto val="1"/>
        <c:lblAlgn val="ctr"/>
        <c:lblOffset val="100"/>
        <c:noMultiLvlLbl val="0"/>
      </c:catAx>
      <c:valAx>
        <c:axId val="1322189167"/>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Lst>
        </c:dLbl>
      </c:pivotFmt>
    </c:pivotFmts>
    <c:plotArea>
      <c:layout>
        <c:manualLayout>
          <c:layoutTarget val="inner"/>
          <c:xMode val="edge"/>
          <c:yMode val="edge"/>
          <c:x val="0.34897613880269523"/>
          <c:y val="0.22229618204940876"/>
          <c:w val="0.35431217453171421"/>
          <c:h val="0.77770418403581909"/>
        </c:manualLayout>
      </c:layout>
      <c:doughnutChart>
        <c:varyColors val="1"/>
        <c:ser>
          <c:idx val="0"/>
          <c:order val="0"/>
          <c:tx>
            <c:strRef>
              <c:f>'Emp Salary Analysis – Summary'!$E$19</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58DB-4A39-94FD-FA3736A2D312}"/>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58DB-4A39-94FD-FA3736A2D312}"/>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DB-4A39-94FD-FA3736A2D312}"/>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 xmlns:c16="http://schemas.microsoft.com/office/drawing/2014/chart" uri="{C3380CC4-5D6E-409C-BE32-E72D297353CC}">
                  <c16:uniqueId val="{00000003-58DB-4A39-94FD-FA3736A2D3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'Emp Salary Analysis – Summary'!$D$20:$D$22</c:f>
              <c:strCache>
                <c:ptCount val="2"/>
                <c:pt idx="0">
                  <c:v>M </c:v>
                </c:pt>
                <c:pt idx="1">
                  <c:v>F</c:v>
                </c:pt>
              </c:strCache>
            </c:strRef>
          </c:cat>
          <c:val>
            <c:numRef>
              <c:f>'Emp Salary Analysis – Summary'!$E$20:$E$22</c:f>
              <c:numCache>
                <c:formatCode>"$"#,##0.00</c:formatCode>
                <c:ptCount val="2"/>
                <c:pt idx="0">
                  <c:v>70629.399999999994</c:v>
                </c:pt>
                <c:pt idx="1">
                  <c:v>67786.727272727279</c:v>
                </c:pt>
              </c:numCache>
            </c:numRef>
          </c:val>
          <c:extLst>
            <c:ext xmlns:c16="http://schemas.microsoft.com/office/drawing/2014/chart" uri="{C3380CC4-5D6E-409C-BE32-E72D297353CC}">
              <c16:uniqueId val="{00000004-58DB-4A39-94FD-FA3736A2D312}"/>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Manager vs Technician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70C0"/>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7"/>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'Emp Salary Analysis – Summary'!$H$19</c:f>
              <c:strCache>
                <c:ptCount val="1"/>
                <c:pt idx="0">
                  <c:v>Total</c:v>
                </c:pt>
              </c:strCache>
            </c:strRef>
          </c:tx>
          <c:spPr>
            <a:solidFill>
              <a:srgbClr val="0070C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975C-4CF4-B57A-86E9EE5F32A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975C-4CF4-B57A-86E9EE5F32AA}"/>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975C-4CF4-B57A-86E9EE5F32AA}"/>
                </c:ext>
              </c:extLst>
            </c:dLbl>
            <c:dLbl>
              <c:idx val="1"/>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75C-4CF4-B57A-86E9EE5F32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Salary Analysis – Summary'!$G$20:$G$22</c:f>
              <c:strCache>
                <c:ptCount val="2"/>
                <c:pt idx="0">
                  <c:v>Manager</c:v>
                </c:pt>
                <c:pt idx="1">
                  <c:v>Technician</c:v>
                </c:pt>
              </c:strCache>
            </c:strRef>
          </c:cat>
          <c:val>
            <c:numRef>
              <c:f>'Emp Salary Analysis – Summary'!$H$20:$H$22</c:f>
              <c:numCache>
                <c:formatCode>"$"#,##0.00</c:formatCode>
                <c:ptCount val="2"/>
                <c:pt idx="0">
                  <c:v>75431.34</c:v>
                </c:pt>
                <c:pt idx="1">
                  <c:v>58276.639175257733</c:v>
                </c:pt>
              </c:numCache>
            </c:numRef>
          </c:val>
          <c:extLst>
            <c:ext xmlns:c16="http://schemas.microsoft.com/office/drawing/2014/chart" uri="{C3380CC4-5D6E-409C-BE32-E72D297353CC}">
              <c16:uniqueId val="{00000004-975C-4CF4-B57A-86E9EE5F32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6</xdr:row>
      <xdr:rowOff>7620</xdr:rowOff>
    </xdr:from>
    <xdr:to>
      <xdr:col>6</xdr:col>
      <xdr:colOff>441960</xdr:colOff>
      <xdr:row>13</xdr:row>
      <xdr:rowOff>99060</xdr:rowOff>
    </xdr:to>
    <xdr:graphicFrame macro="">
      <xdr:nvGraphicFramePr>
        <xdr:cNvPr id="2" name="Chart 1">
          <a:extLst>
            <a:ext uri="{FF2B5EF4-FFF2-40B4-BE49-F238E27FC236}">
              <a16:creationId xmlns:a16="http://schemas.microsoft.com/office/drawing/2014/main" id="{A07C5B04-644D-46EE-AC56-8EA004C60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13</xdr:row>
      <xdr:rowOff>83820</xdr:rowOff>
    </xdr:from>
    <xdr:to>
      <xdr:col>6</xdr:col>
      <xdr:colOff>441960</xdr:colOff>
      <xdr:row>26</xdr:row>
      <xdr:rowOff>152400</xdr:rowOff>
    </xdr:to>
    <xdr:graphicFrame macro="">
      <xdr:nvGraphicFramePr>
        <xdr:cNvPr id="3" name="Chart 2">
          <a:extLst>
            <a:ext uri="{FF2B5EF4-FFF2-40B4-BE49-F238E27FC236}">
              <a16:creationId xmlns:a16="http://schemas.microsoft.com/office/drawing/2014/main" id="{0473D1EF-82BF-4019-81D8-C9C22B8EE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13</xdr:row>
      <xdr:rowOff>83820</xdr:rowOff>
    </xdr:from>
    <xdr:to>
      <xdr:col>13</xdr:col>
      <xdr:colOff>228600</xdr:colOff>
      <xdr:row>26</xdr:row>
      <xdr:rowOff>152400</xdr:rowOff>
    </xdr:to>
    <xdr:graphicFrame macro="">
      <xdr:nvGraphicFramePr>
        <xdr:cNvPr id="4" name="Chart 3">
          <a:extLst>
            <a:ext uri="{FF2B5EF4-FFF2-40B4-BE49-F238E27FC236}">
              <a16:creationId xmlns:a16="http://schemas.microsoft.com/office/drawing/2014/main" id="{6A4CD369-69CD-4D32-BEBB-3B3A9D26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6</xdr:row>
      <xdr:rowOff>15240</xdr:rowOff>
    </xdr:from>
    <xdr:to>
      <xdr:col>13</xdr:col>
      <xdr:colOff>228600</xdr:colOff>
      <xdr:row>13</xdr:row>
      <xdr:rowOff>91440</xdr:rowOff>
    </xdr:to>
    <xdr:graphicFrame macro="">
      <xdr:nvGraphicFramePr>
        <xdr:cNvPr id="5" name="Chart 4">
          <a:extLst>
            <a:ext uri="{FF2B5EF4-FFF2-40B4-BE49-F238E27FC236}">
              <a16:creationId xmlns:a16="http://schemas.microsoft.com/office/drawing/2014/main" id="{AA7EDC05-15C1-415D-A87D-FE7469B87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6</xdr:row>
      <xdr:rowOff>7620</xdr:rowOff>
    </xdr:from>
    <xdr:to>
      <xdr:col>18</xdr:col>
      <xdr:colOff>518160</xdr:colOff>
      <xdr:row>13</xdr:row>
      <xdr:rowOff>99060</xdr:rowOff>
    </xdr:to>
    <xdr:graphicFrame macro="">
      <xdr:nvGraphicFramePr>
        <xdr:cNvPr id="6" name="Chart 5">
          <a:extLst>
            <a:ext uri="{FF2B5EF4-FFF2-40B4-BE49-F238E27FC236}">
              <a16:creationId xmlns:a16="http://schemas.microsoft.com/office/drawing/2014/main" id="{E0524441-B02A-43C4-8AB1-0E7072FBB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220980</xdr:colOff>
      <xdr:row>13</xdr:row>
      <xdr:rowOff>91440</xdr:rowOff>
    </xdr:from>
    <xdr:to>
      <xdr:col>18</xdr:col>
      <xdr:colOff>518160</xdr:colOff>
      <xdr:row>26</xdr:row>
      <xdr:rowOff>160020</xdr:rowOff>
    </xdr:to>
    <xdr:graphicFrame macro="">
      <xdr:nvGraphicFramePr>
        <xdr:cNvPr id="7" name="Chart 6">
          <a:extLst>
            <a:ext uri="{FF2B5EF4-FFF2-40B4-BE49-F238E27FC236}">
              <a16:creationId xmlns:a16="http://schemas.microsoft.com/office/drawing/2014/main" id="{ED5E3812-3104-4B38-ADF0-86F74422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464820</xdr:colOff>
      <xdr:row>0</xdr:row>
      <xdr:rowOff>38100</xdr:rowOff>
    </xdr:from>
    <xdr:to>
      <xdr:col>13</xdr:col>
      <xdr:colOff>594360</xdr:colOff>
      <xdr:row>2</xdr:row>
      <xdr:rowOff>53340</xdr:rowOff>
    </xdr:to>
    <xdr:sp macro="" textlink="">
      <xdr:nvSpPr>
        <xdr:cNvPr id="8" name="TextBox 7">
          <a:extLst>
            <a:ext uri="{FF2B5EF4-FFF2-40B4-BE49-F238E27FC236}">
              <a16:creationId xmlns:a16="http://schemas.microsoft.com/office/drawing/2014/main" id="{09966FF3-36C6-40DD-0351-5629C17D1809}"/>
            </a:ext>
          </a:extLst>
        </xdr:cNvPr>
        <xdr:cNvSpPr txBox="1"/>
      </xdr:nvSpPr>
      <xdr:spPr>
        <a:xfrm>
          <a:off x="4732020" y="38100"/>
          <a:ext cx="3787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HR Salary Analytics Dashboard</a:t>
          </a:r>
        </a:p>
      </xdr:txBody>
    </xdr:sp>
    <xdr:clientData/>
  </xdr:twoCellAnchor>
  <xdr:twoCellAnchor>
    <xdr:from>
      <xdr:col>6</xdr:col>
      <xdr:colOff>510540</xdr:colOff>
      <xdr:row>3</xdr:row>
      <xdr:rowOff>68580</xdr:rowOff>
    </xdr:from>
    <xdr:to>
      <xdr:col>8</xdr:col>
      <xdr:colOff>373380</xdr:colOff>
      <xdr:row>6</xdr:row>
      <xdr:rowOff>7620</xdr:rowOff>
    </xdr:to>
    <xdr:sp macro="" textlink="'HR Salary Analytics Dashboard'!AI1">
      <xdr:nvSpPr>
        <xdr:cNvPr id="9" name="Rectangle 8">
          <a:extLst>
            <a:ext uri="{FF2B5EF4-FFF2-40B4-BE49-F238E27FC236}">
              <a16:creationId xmlns:a16="http://schemas.microsoft.com/office/drawing/2014/main" id="{74B09B9B-FBF8-DAB5-5238-0D10BCB6ADE9}"/>
            </a:ext>
          </a:extLst>
        </xdr:cNvPr>
        <xdr:cNvSpPr/>
      </xdr:nvSpPr>
      <xdr:spPr>
        <a:xfrm>
          <a:off x="4168140" y="617220"/>
          <a:ext cx="108204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Average Salary</a:t>
          </a:r>
        </a:p>
        <a:p>
          <a:pPr algn="ctr"/>
          <a:fld id="{FC09DDF9-575B-4280-9843-1F22E7CC5140}" type="TxLink">
            <a:rPr lang="en-US" sz="1100" b="0" i="0" u="none" strike="noStrike">
              <a:solidFill>
                <a:srgbClr val="000000"/>
              </a:solidFill>
              <a:latin typeface="Calibri"/>
              <a:ea typeface="Calibri"/>
              <a:cs typeface="Calibri"/>
            </a:rPr>
            <a:pPr algn="ctr"/>
            <a:t>$69K</a:t>
          </a:fld>
          <a:endParaRPr lang="en-US" sz="1100"/>
        </a:p>
      </xdr:txBody>
    </xdr:sp>
    <xdr:clientData/>
  </xdr:twoCellAnchor>
  <xdr:twoCellAnchor>
    <xdr:from>
      <xdr:col>8</xdr:col>
      <xdr:colOff>381000</xdr:colOff>
      <xdr:row>3</xdr:row>
      <xdr:rowOff>68580</xdr:rowOff>
    </xdr:from>
    <xdr:to>
      <xdr:col>11</xdr:col>
      <xdr:colOff>259080</xdr:colOff>
      <xdr:row>6</xdr:row>
      <xdr:rowOff>7620</xdr:rowOff>
    </xdr:to>
    <xdr:sp macro="" textlink="'HR Salary Analytics Dashboard'!AI2">
      <xdr:nvSpPr>
        <xdr:cNvPr id="11" name="Rectangle 10">
          <a:extLst>
            <a:ext uri="{FF2B5EF4-FFF2-40B4-BE49-F238E27FC236}">
              <a16:creationId xmlns:a16="http://schemas.microsoft.com/office/drawing/2014/main" id="{AA062AAD-3FE2-651A-6C46-DD5F42861744}"/>
            </a:ext>
          </a:extLst>
        </xdr:cNvPr>
        <xdr:cNvSpPr/>
      </xdr:nvSpPr>
      <xdr:spPr>
        <a:xfrm>
          <a:off x="5257800" y="617220"/>
          <a:ext cx="17068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Highest Salary</a:t>
          </a:r>
        </a:p>
        <a:p>
          <a:pPr algn="ctr"/>
          <a:fld id="{B9446F9C-C35C-43CF-9869-2281655C3602}" type="TxLink">
            <a:rPr lang="en-US" sz="1100" b="0" i="0" u="none" strike="noStrike">
              <a:solidFill>
                <a:srgbClr val="000000"/>
              </a:solidFill>
              <a:latin typeface="Calibri"/>
              <a:ea typeface="Calibri"/>
              <a:cs typeface="Calibri"/>
            </a:rPr>
            <a:pPr algn="ctr"/>
            <a:t>President &amp; CEO ($250K)</a:t>
          </a:fld>
          <a:endParaRPr lang="en-US" sz="1100"/>
        </a:p>
      </xdr:txBody>
    </xdr:sp>
    <xdr:clientData/>
  </xdr:twoCellAnchor>
  <xdr:twoCellAnchor>
    <xdr:from>
      <xdr:col>11</xdr:col>
      <xdr:colOff>266700</xdr:colOff>
      <xdr:row>3</xdr:row>
      <xdr:rowOff>68580</xdr:rowOff>
    </xdr:from>
    <xdr:to>
      <xdr:col>14</xdr:col>
      <xdr:colOff>487680</xdr:colOff>
      <xdr:row>6</xdr:row>
      <xdr:rowOff>7620</xdr:rowOff>
    </xdr:to>
    <xdr:sp macro="" textlink="'HR Salary Analytics Dashboard'!AI3">
      <xdr:nvSpPr>
        <xdr:cNvPr id="12" name="Rectangle 11">
          <a:extLst>
            <a:ext uri="{FF2B5EF4-FFF2-40B4-BE49-F238E27FC236}">
              <a16:creationId xmlns:a16="http://schemas.microsoft.com/office/drawing/2014/main" id="{6703FDFA-C5C5-6DF4-39D8-6F147CBABDBA}"/>
            </a:ext>
          </a:extLst>
        </xdr:cNvPr>
        <xdr:cNvSpPr/>
      </xdr:nvSpPr>
      <xdr:spPr>
        <a:xfrm>
          <a:off x="6972300" y="617220"/>
          <a:ext cx="20497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Lowest Salary</a:t>
          </a:r>
        </a:p>
        <a:p>
          <a:pPr algn="ctr"/>
          <a:fld id="{808D9AB2-F80E-422D-A8E4-66068B1E0840}" type="TxLink">
            <a:rPr lang="en-US" sz="1100" b="0" i="0" u="none" strike="noStrike">
              <a:solidFill>
                <a:srgbClr val="000000"/>
              </a:solidFill>
              <a:latin typeface="Calibri"/>
              <a:ea typeface="Calibri"/>
              <a:cs typeface="Calibri"/>
            </a:rPr>
            <a:pPr algn="ctr"/>
            <a:t>Administrative Assistant ($52K)</a:t>
          </a:fld>
          <a:endParaRPr lang="en-US" sz="1100"/>
        </a:p>
      </xdr:txBody>
    </xdr:sp>
    <xdr:clientData/>
  </xdr:twoCellAnchor>
  <xdr:twoCellAnchor>
    <xdr:from>
      <xdr:col>0</xdr:col>
      <xdr:colOff>76200</xdr:colOff>
      <xdr:row>0</xdr:row>
      <xdr:rowOff>83820</xdr:rowOff>
    </xdr:from>
    <xdr:to>
      <xdr:col>6</xdr:col>
      <xdr:colOff>441960</xdr:colOff>
      <xdr:row>6</xdr:row>
      <xdr:rowOff>0</xdr:rowOff>
    </xdr:to>
    <xdr:sp macro="" textlink="">
      <xdr:nvSpPr>
        <xdr:cNvPr id="13" name="TextBox 12">
          <a:extLst>
            <a:ext uri="{FF2B5EF4-FFF2-40B4-BE49-F238E27FC236}">
              <a16:creationId xmlns:a16="http://schemas.microsoft.com/office/drawing/2014/main" id="{2BD47C07-E489-D830-F289-FBC5D076E4D7}"/>
            </a:ext>
          </a:extLst>
        </xdr:cNvPr>
        <xdr:cNvSpPr txBox="1"/>
      </xdr:nvSpPr>
      <xdr:spPr>
        <a:xfrm>
          <a:off x="76200" y="83820"/>
          <a:ext cx="402336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rPr>
            <a:t>Key Insight</a:t>
          </a:r>
        </a:p>
        <a:p>
          <a:pPr algn="l"/>
          <a:r>
            <a:rPr lang="en-US" sz="1050"/>
            <a:t>Executive and technical roles dominate the highest salary range, while operational roles earn significantly less, indicating that role hierarchy and department are the primary drivers of compensation, with performance and gender having a comparatively smaller impact.</a:t>
          </a:r>
          <a:endParaRPr lang="en-US" sz="105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Ganatra" refreshedDate="46132.371993981484" createdVersion="8" refreshedVersion="8" minRefreshableVersion="3" recordCount="311" xr:uid="{7A11592B-1932-4802-AFF3-2BCC0EC669C2}">
  <cacheSource type="worksheet">
    <worksheetSource name="HRDataset_v14"/>
  </cacheSource>
  <cacheFields count="40">
    <cacheField name="Employee_Name" numFmtId="0">
      <sharedItems/>
    </cacheField>
    <cacheField name="Emp_ID" numFmtId="0">
      <sharedItems containsSemiMixedTypes="0" containsString="0" containsNumber="1" containsInteger="1" minValue="10001" maxValue="10311"/>
    </cacheField>
    <cacheField name="Married_ID" numFmtId="0">
      <sharedItems containsSemiMixedTypes="0" containsString="0" containsNumber="1" containsInteger="1" minValue="0" maxValue="1"/>
    </cacheField>
    <cacheField name="MaritalStatusI_D" numFmtId="0">
      <sharedItems containsSemiMixedTypes="0" containsString="0" containsNumber="1" containsInteger="1" minValue="0" maxValue="4"/>
    </cacheField>
    <cacheField name="Gender_ID" numFmtId="0">
      <sharedItems containsSemiMixedTypes="0" containsString="0" containsNumber="1" containsInteger="1" minValue="0" maxValue="1"/>
    </cacheField>
    <cacheField name="EmpStatus_ID" numFmtId="0">
      <sharedItems containsSemiMixedTypes="0" containsString="0" containsNumber="1" containsInteger="1" minValue="1" maxValue="5"/>
    </cacheField>
    <cacheField name="Dept_ID" numFmtId="0">
      <sharedItems containsSemiMixedTypes="0" containsString="0" containsNumber="1" containsInteger="1" minValue="1" maxValue="6"/>
    </cacheField>
    <cacheField name="PerfScore_ID" numFmtId="0">
      <sharedItems containsSemiMixedTypes="0" containsString="0" containsNumber="1" containsInteger="1" minValue="1" maxValue="4"/>
    </cacheField>
    <cacheField name="FromDiversityJobFair_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_ID" numFmtId="0">
      <sharedItems containsSemiMixedTypes="0" containsString="0" containsNumber="1" containsInteger="1" minValue="1" maxValue="30"/>
    </cacheField>
    <cacheField name="Position_Name"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acheField>
    <cacheField name="Gender" numFmtId="0">
      <sharedItems count="2">
        <s v="M "/>
        <s v="F"/>
      </sharedItems>
    </cacheField>
    <cacheField name="Marital_Status" numFmtId="0">
      <sharedItems/>
    </cacheField>
    <cacheField name="Citizen_Desc" numFmtId="0">
      <sharedItems/>
    </cacheField>
    <cacheField name="HispanicLatino" numFmtId="0">
      <sharedItems/>
    </cacheField>
    <cacheField name="Race_Desc" numFmtId="0">
      <sharedItems/>
    </cacheField>
    <cacheField name="Hire_Date" numFmtId="14">
      <sharedItems containsSemiMixedTypes="0" containsNonDate="0" containsDate="1" containsString="0" minDate="2006-01-09T00:00:00" maxDate="2018-07-10T00:00:00"/>
    </cacheField>
    <cacheField name="Termination_Date" numFmtId="14">
      <sharedItems containsNonDate="0" containsDate="1" containsString="0" containsBlank="1" minDate="2010-08-30T00:00:00" maxDate="2018-11-11T00:00:00"/>
    </cacheField>
    <cacheField name="Term_Reason" numFmtId="0">
      <sharedItems/>
    </cacheField>
    <cacheField name="Employment_Status" numFmtId="0">
      <sharedItems count="3">
        <s v="Active"/>
        <s v="Voluntarily Terminated"/>
        <s v="Terminated for Cause"/>
      </sharedItems>
    </cacheField>
    <cacheField name="Department_Name" numFmtId="0">
      <sharedItems count="6">
        <s v="Production       "/>
        <s v="IT/IS"/>
        <s v="Software Engineering"/>
        <s v="Admin Offices"/>
        <s v="Sales"/>
        <s v="Executive Office"/>
      </sharedItems>
    </cacheField>
    <cacheField name="Manager_Name" numFmtId="0">
      <sharedItems/>
    </cacheField>
    <cacheField name="Manager_ID" numFmtId="0">
      <sharedItems containsString="0" containsBlank="1" containsNumber="1" containsInteger="1" minValue="1" maxValue="39"/>
    </cacheField>
    <cacheField name="Recruitment_Source" numFmtId="0">
      <sharedItems/>
    </cacheField>
    <cacheField name="Performance_Score" numFmtId="0">
      <sharedItems count="4">
        <s v="Exceeds"/>
        <s v="Fully Meets"/>
        <s v="Needs Improvement"/>
        <s v="PIP"/>
      </sharedItems>
    </cacheField>
    <cacheField name="Engagement_Survey" numFmtId="0">
      <sharedItems containsSemiMixedTypes="0" containsString="0" containsNumber="1" minValue="1.1200000000000001" maxValue="5"/>
    </cacheField>
    <cacheField name="Emp_Satisfaction" numFmtId="0">
      <sharedItems containsSemiMixedTypes="0" containsString="0" containsNumber="1" containsInteger="1" minValue="1" maxValue="5"/>
    </cacheField>
    <cacheField name="SpecialProjects_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Role_Type" numFmtId="0">
      <sharedItems count="2">
        <s v="Non-Technical"/>
        <s v="Technical"/>
      </sharedItems>
    </cacheField>
    <cacheField name="Tenure_Years" numFmtId="0">
      <sharedItems containsSemiMixedTypes="0" containsString="0" containsNumber="1" containsInteger="1" minValue="0" maxValue="20"/>
    </cacheField>
    <cacheField name="Tenure_Group" numFmtId="0">
      <sharedItems/>
    </cacheField>
    <cacheField name="Position_Level" numFmtId="0">
      <sharedItems count="3">
        <s v="Technician"/>
        <s v="Other"/>
        <s v="Manag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x v="0"/>
    <s v="MA"/>
    <n v="1960"/>
    <d v="1983-07-10T00:00:00"/>
    <x v="0"/>
    <s v="Single"/>
    <s v="US Citizen"/>
    <s v="No"/>
    <s v="White"/>
    <d v="2011-07-05T00:00:00"/>
    <m/>
    <s v="N/A-StillEmployed"/>
    <x v="0"/>
    <x v="0"/>
    <s v="Michael Albert"/>
    <n v="22"/>
    <s v="LinkedIn"/>
    <x v="0"/>
    <n v="4.5999999999999996"/>
    <n v="5"/>
    <n v="0"/>
    <d v="2019-01-17T00:00:00"/>
    <n v="0"/>
    <n v="1"/>
    <x v="0"/>
    <n v="14"/>
    <s v="10+ Years"/>
    <x v="0"/>
  </r>
  <r>
    <s v="Ait Sidi, Karthikeyan   "/>
    <n v="10084"/>
    <n v="1"/>
    <n v="1"/>
    <n v="1"/>
    <n v="5"/>
    <n v="3"/>
    <n v="3"/>
    <n v="0"/>
    <n v="104437"/>
    <n v="1"/>
    <n v="27"/>
    <x v="1"/>
    <s v="MA"/>
    <n v="2148"/>
    <d v="1975-05-05T00:00:00"/>
    <x v="0"/>
    <s v="Married"/>
    <s v="US Citizen"/>
    <s v="No"/>
    <s v="White"/>
    <d v="2015-03-30T00:00:00"/>
    <d v="2016-06-16T00:00:00"/>
    <s v="career change"/>
    <x v="1"/>
    <x v="1"/>
    <s v="Simon Roup"/>
    <n v="4"/>
    <s v="Indeed"/>
    <x v="1"/>
    <n v="4.96"/>
    <n v="3"/>
    <n v="6"/>
    <d v="2016-02-24T00:00:00"/>
    <n v="0"/>
    <n v="17"/>
    <x v="1"/>
    <n v="1"/>
    <s v="0-2 Years"/>
    <x v="1"/>
  </r>
  <r>
    <s v="Akinkuolie, Sarah"/>
    <n v="10196"/>
    <n v="1"/>
    <n v="1"/>
    <n v="0"/>
    <n v="5"/>
    <n v="5"/>
    <n v="3"/>
    <n v="0"/>
    <n v="64955"/>
    <n v="1"/>
    <n v="20"/>
    <x v="2"/>
    <s v="MA"/>
    <n v="1810"/>
    <d v="1988-09-19T00:00:00"/>
    <x v="1"/>
    <s v="Married"/>
    <s v="US Citizen"/>
    <s v="No"/>
    <s v="White"/>
    <d v="2011-07-05T00:00:00"/>
    <d v="2012-09-24T00:00:00"/>
    <s v="hours"/>
    <x v="1"/>
    <x v="0"/>
    <s v="Kissy Sullivan"/>
    <n v="20"/>
    <s v="LinkedIn"/>
    <x v="1"/>
    <n v="3.02"/>
    <n v="3"/>
    <n v="0"/>
    <d v="2012-05-15T00:00:00"/>
    <n v="0"/>
    <n v="3"/>
    <x v="0"/>
    <n v="1"/>
    <s v="0-2 Years"/>
    <x v="0"/>
  </r>
  <r>
    <s v="Alagbe,Trina"/>
    <n v="10088"/>
    <n v="1"/>
    <n v="1"/>
    <n v="0"/>
    <n v="1"/>
    <n v="5"/>
    <n v="3"/>
    <n v="0"/>
    <n v="64991"/>
    <n v="0"/>
    <n v="19"/>
    <x v="0"/>
    <s v="MA"/>
    <n v="1886"/>
    <d v="1988-09-27T00:00:00"/>
    <x v="1"/>
    <s v="Married"/>
    <s v="US Citizen"/>
    <s v="No"/>
    <s v="White"/>
    <d v="2008-01-07T00:00:00"/>
    <m/>
    <s v="N/A-StillEmployed"/>
    <x v="0"/>
    <x v="0"/>
    <s v="Elijiah Gray"/>
    <n v="16"/>
    <s v="Indeed"/>
    <x v="1"/>
    <n v="4.84"/>
    <n v="5"/>
    <n v="0"/>
    <d v="2019-01-03T00:00:00"/>
    <n v="0"/>
    <n v="15"/>
    <x v="0"/>
    <n v="18"/>
    <s v="10+ Years"/>
    <x v="0"/>
  </r>
  <r>
    <s v="Anderson, Carol "/>
    <n v="10069"/>
    <n v="0"/>
    <n v="2"/>
    <n v="0"/>
    <n v="5"/>
    <n v="5"/>
    <n v="3"/>
    <n v="0"/>
    <n v="50825"/>
    <n v="1"/>
    <n v="19"/>
    <x v="0"/>
    <s v="MA"/>
    <n v="2169"/>
    <d v="1989-09-08T00:00:00"/>
    <x v="1"/>
    <s v="Divorced"/>
    <s v="US Citizen"/>
    <s v="No"/>
    <s v="White"/>
    <d v="2011-07-11T00:00:00"/>
    <d v="2016-09-06T00:00:00"/>
    <s v="return to school"/>
    <x v="1"/>
    <x v="0"/>
    <s v="Webster Butler"/>
    <n v="39"/>
    <s v="Google Search"/>
    <x v="1"/>
    <n v="5"/>
    <n v="4"/>
    <n v="0"/>
    <d v="2016-02-01T00:00:00"/>
    <n v="0"/>
    <n v="2"/>
    <x v="0"/>
    <n v="5"/>
    <s v="5-10 Years"/>
    <x v="0"/>
  </r>
  <r>
    <s v="Anderson, Linda  "/>
    <n v="10002"/>
    <n v="0"/>
    <n v="0"/>
    <n v="0"/>
    <n v="1"/>
    <n v="5"/>
    <n v="4"/>
    <n v="0"/>
    <n v="57568"/>
    <n v="0"/>
    <n v="19"/>
    <x v="0"/>
    <s v="MA"/>
    <n v="1844"/>
    <d v="1977-05-22T00:00:00"/>
    <x v="1"/>
    <s v="Single"/>
    <s v="US Citizen"/>
    <s v="No"/>
    <s v="White"/>
    <d v="2012-01-09T00:00:00"/>
    <m/>
    <s v="N/A-StillEmployed"/>
    <x v="0"/>
    <x v="0"/>
    <s v="Amy Dunn"/>
    <n v="11"/>
    <s v="LinkedIn"/>
    <x v="0"/>
    <n v="5"/>
    <n v="5"/>
    <n v="0"/>
    <d v="2019-01-07T00:00:00"/>
    <n v="0"/>
    <n v="15"/>
    <x v="0"/>
    <n v="14"/>
    <s v="10+ Years"/>
    <x v="0"/>
  </r>
  <r>
    <s v="Andreola, Colby"/>
    <n v="10194"/>
    <n v="0"/>
    <n v="0"/>
    <n v="0"/>
    <n v="1"/>
    <n v="4"/>
    <n v="3"/>
    <n v="0"/>
    <n v="95660"/>
    <n v="0"/>
    <n v="24"/>
    <x v="3"/>
    <s v="MA"/>
    <n v="2110"/>
    <d v="1979-05-24T00:00:00"/>
    <x v="1"/>
    <s v="Single"/>
    <s v="US Citizen"/>
    <s v="No"/>
    <s v="White"/>
    <d v="2014-11-10T00:00:00"/>
    <m/>
    <s v="N/A-StillEmployed"/>
    <x v="0"/>
    <x v="2"/>
    <s v="Alex Sweetwater"/>
    <n v="10"/>
    <s v="LinkedIn"/>
    <x v="1"/>
    <n v="3.04"/>
    <n v="3"/>
    <n v="4"/>
    <d v="2019-01-02T00:00:00"/>
    <n v="0"/>
    <n v="19"/>
    <x v="1"/>
    <n v="11"/>
    <s v="10+ Years"/>
    <x v="1"/>
  </r>
  <r>
    <s v="Athwal, Sam"/>
    <n v="10062"/>
    <n v="0"/>
    <n v="4"/>
    <n v="1"/>
    <n v="1"/>
    <n v="5"/>
    <n v="3"/>
    <n v="0"/>
    <n v="59365"/>
    <n v="0"/>
    <n v="19"/>
    <x v="0"/>
    <s v="MA"/>
    <n v="2199"/>
    <d v="1983-02-18T00:00:00"/>
    <x v="0"/>
    <s v="Widowed"/>
    <s v="US Citizen"/>
    <s v="No"/>
    <s v="White"/>
    <d v="2013-09-30T00:00:00"/>
    <m/>
    <s v="N/A-StillEmployed"/>
    <x v="0"/>
    <x v="0"/>
    <s v="Ketsia Liebig"/>
    <n v="19"/>
    <s v="Employee Referral"/>
    <x v="1"/>
    <n v="5"/>
    <n v="4"/>
    <n v="0"/>
    <d v="2019-02-25T00:00:00"/>
    <n v="0"/>
    <n v="19"/>
    <x v="0"/>
    <n v="12"/>
    <s v="10+ Years"/>
    <x v="0"/>
  </r>
  <r>
    <s v="Bachiochi, Linda"/>
    <n v="10114"/>
    <n v="0"/>
    <n v="0"/>
    <n v="0"/>
    <n v="3"/>
    <n v="5"/>
    <n v="3"/>
    <n v="1"/>
    <n v="47837"/>
    <n v="0"/>
    <n v="19"/>
    <x v="0"/>
    <s v="MA"/>
    <n v="1902"/>
    <d v="1970-02-11T00:00:00"/>
    <x v="1"/>
    <s v="Single"/>
    <s v="US Citizen"/>
    <s v="No"/>
    <s v="Black or African American"/>
    <d v="2009-07-06T00:00:00"/>
    <m/>
    <s v="N/A-StillEmployed"/>
    <x v="0"/>
    <x v="0"/>
    <s v="Brannon Miller"/>
    <n v="12"/>
    <s v="Diversity Job Fair"/>
    <x v="1"/>
    <n v="4.46"/>
    <n v="3"/>
    <n v="0"/>
    <d v="2019-01-25T00:00:00"/>
    <n v="0"/>
    <n v="4"/>
    <x v="0"/>
    <n v="16"/>
    <s v="10+ Years"/>
    <x v="0"/>
  </r>
  <r>
    <s v="Bacong, Alejandro "/>
    <n v="10250"/>
    <n v="0"/>
    <n v="2"/>
    <n v="1"/>
    <n v="1"/>
    <n v="3"/>
    <n v="3"/>
    <n v="0"/>
    <n v="50178"/>
    <n v="0"/>
    <n v="14"/>
    <x v="4"/>
    <s v="MA"/>
    <n v="1886"/>
    <d v="1988-01-07T00:00:00"/>
    <x v="0"/>
    <s v="Divorced"/>
    <s v="US Citizen"/>
    <s v="No"/>
    <s v="White"/>
    <d v="2015-01-05T00:00:00"/>
    <m/>
    <s v="N/A-StillEmployed"/>
    <x v="0"/>
    <x v="1"/>
    <s v="Peter Monroe"/>
    <n v="7"/>
    <s v="Indeed"/>
    <x v="1"/>
    <n v="5"/>
    <n v="5"/>
    <n v="6"/>
    <d v="2019-02-18T00:00:00"/>
    <n v="0"/>
    <n v="16"/>
    <x v="1"/>
    <n v="11"/>
    <s v="10+ Years"/>
    <x v="1"/>
  </r>
  <r>
    <s v="Baczenski, Rachael  "/>
    <n v="10252"/>
    <n v="1"/>
    <n v="1"/>
    <n v="0"/>
    <n v="5"/>
    <n v="5"/>
    <n v="3"/>
    <n v="1"/>
    <n v="54670"/>
    <n v="1"/>
    <n v="19"/>
    <x v="0"/>
    <s v="MA"/>
    <n v="1902"/>
    <d v="1974-01-12T00:00:00"/>
    <x v="1"/>
    <s v="Married"/>
    <s v="US Citizen"/>
    <s v="Yes"/>
    <s v="Black or African American"/>
    <d v="2011-01-10T00:00:00"/>
    <d v="2017-01-12T00:00:00"/>
    <s v="Another position"/>
    <x v="1"/>
    <x v="0"/>
    <s v="David Stanley"/>
    <n v="14"/>
    <s v="Diversity Job Fair"/>
    <x v="1"/>
    <n v="4.2"/>
    <n v="4"/>
    <n v="0"/>
    <d v="2016-01-30T00:00:00"/>
    <n v="0"/>
    <n v="12"/>
    <x v="0"/>
    <n v="6"/>
    <s v="5-10 Years"/>
    <x v="0"/>
  </r>
  <r>
    <s v="Barbara, Thomas"/>
    <n v="10242"/>
    <n v="1"/>
    <n v="1"/>
    <n v="1"/>
    <n v="5"/>
    <n v="5"/>
    <n v="3"/>
    <n v="1"/>
    <n v="47211"/>
    <n v="1"/>
    <n v="19"/>
    <x v="0"/>
    <s v="MA"/>
    <n v="2062"/>
    <d v="1974-02-21T00:00:00"/>
    <x v="0"/>
    <s v="Married"/>
    <s v="US Citizen"/>
    <s v="Yes"/>
    <s v="Black or African American"/>
    <d v="2012-04-02T00:00:00"/>
    <d v="2016-09-19T00:00:00"/>
    <s v="unhappy"/>
    <x v="1"/>
    <x v="0"/>
    <s v="Kissy Sullivan"/>
    <n v="20"/>
    <s v="Diversity Job Fair"/>
    <x v="1"/>
    <n v="4.2"/>
    <n v="3"/>
    <n v="0"/>
    <d v="2016-05-06T00:00:00"/>
    <n v="0"/>
    <n v="15"/>
    <x v="0"/>
    <n v="4"/>
    <s v="2-5 Years"/>
    <x v="0"/>
  </r>
  <r>
    <s v="Barbossa, Hector"/>
    <n v="10012"/>
    <n v="0"/>
    <n v="2"/>
    <n v="1"/>
    <n v="1"/>
    <n v="3"/>
    <n v="4"/>
    <n v="1"/>
    <n v="92328"/>
    <n v="0"/>
    <n v="9"/>
    <x v="5"/>
    <s v="TX"/>
    <n v="78230"/>
    <d v="1988-07-04T00:00:00"/>
    <x v="0"/>
    <s v="Divorced"/>
    <s v="US Citizen"/>
    <s v="No"/>
    <s v="Black or African American"/>
    <d v="2014-11-10T00:00:00"/>
    <m/>
    <s v="N/A-StillEmployed"/>
    <x v="0"/>
    <x v="1"/>
    <s v="Simon Roup"/>
    <n v="4"/>
    <s v="Diversity Job Fair"/>
    <x v="0"/>
    <n v="4.28"/>
    <n v="4"/>
    <n v="5"/>
    <d v="2019-02-25T00:00:00"/>
    <n v="0"/>
    <n v="9"/>
    <x v="1"/>
    <n v="11"/>
    <s v="10+ Years"/>
    <x v="1"/>
  </r>
  <r>
    <s v="Barone, Francesco  A"/>
    <n v="10265"/>
    <n v="0"/>
    <n v="0"/>
    <n v="1"/>
    <n v="1"/>
    <n v="5"/>
    <n v="3"/>
    <n v="0"/>
    <n v="58709"/>
    <n v="0"/>
    <n v="19"/>
    <x v="0"/>
    <s v="MA"/>
    <n v="1810"/>
    <d v="1983-07-20T00:00:00"/>
    <x v="0"/>
    <s v="Single"/>
    <s v="US Citizen"/>
    <s v="No"/>
    <s v="Two or more races"/>
    <d v="2012-02-20T00:00:00"/>
    <m/>
    <s v="N/A-StillEmployed"/>
    <x v="0"/>
    <x v="0"/>
    <s v="Kelley Spirea"/>
    <n v="18"/>
    <s v="Google Search"/>
    <x v="1"/>
    <n v="4.5999999999999996"/>
    <n v="4"/>
    <n v="0"/>
    <d v="2019-02-14T00:00:00"/>
    <n v="0"/>
    <n v="7"/>
    <x v="0"/>
    <n v="14"/>
    <s v="10+ Years"/>
    <x v="0"/>
  </r>
  <r>
    <s v="Barton, Nader"/>
    <n v="10066"/>
    <n v="0"/>
    <n v="2"/>
    <n v="1"/>
    <n v="5"/>
    <n v="5"/>
    <n v="3"/>
    <n v="0"/>
    <n v="52505"/>
    <n v="1"/>
    <n v="19"/>
    <x v="0"/>
    <s v="MA"/>
    <n v="2747"/>
    <d v="1977-07-15T00:00:00"/>
    <x v="0"/>
    <s v="Divorced"/>
    <s v="US Citizen"/>
    <s v="No"/>
    <s v="White"/>
    <d v="2012-09-24T00:00:00"/>
    <d v="2017-04-06T00:00:00"/>
    <s v="Another position"/>
    <x v="1"/>
    <x v="0"/>
    <s v="Michael Albert"/>
    <n v="22"/>
    <s v="On-line Web application"/>
    <x v="1"/>
    <n v="5"/>
    <n v="5"/>
    <n v="0"/>
    <d v="2017-03-02T00:00:00"/>
    <n v="0"/>
    <n v="1"/>
    <x v="0"/>
    <n v="4"/>
    <s v="2-5 Years"/>
    <x v="0"/>
  </r>
  <r>
    <s v="Bates, Norman"/>
    <n v="10061"/>
    <n v="0"/>
    <n v="0"/>
    <n v="1"/>
    <n v="4"/>
    <n v="5"/>
    <n v="3"/>
    <n v="0"/>
    <n v="57834"/>
    <n v="1"/>
    <n v="19"/>
    <x v="0"/>
    <s v="MA"/>
    <n v="2050"/>
    <d v="1981-10-18T00:00:00"/>
    <x v="0"/>
    <s v="Single"/>
    <s v="US Citizen"/>
    <s v="No"/>
    <s v="White"/>
    <d v="2011-02-21T00:00:00"/>
    <d v="2017-08-04T00:00:00"/>
    <s v="attendance"/>
    <x v="2"/>
    <x v="0"/>
    <s v="Kelley Spirea"/>
    <n v="18"/>
    <s v="Google Search"/>
    <x v="1"/>
    <n v="5"/>
    <n v="4"/>
    <n v="0"/>
    <d v="2017-04-05T00:00:00"/>
    <n v="0"/>
    <n v="20"/>
    <x v="0"/>
    <n v="6"/>
    <s v="5-10 Years"/>
    <x v="0"/>
  </r>
  <r>
    <s v="Beak, Kimberly  "/>
    <n v="10023"/>
    <n v="1"/>
    <n v="1"/>
    <n v="0"/>
    <n v="2"/>
    <n v="5"/>
    <n v="4"/>
    <n v="0"/>
    <n v="70131"/>
    <n v="0"/>
    <n v="20"/>
    <x v="2"/>
    <s v="MA"/>
    <n v="2145"/>
    <d v="1966-04-17T00:00:00"/>
    <x v="1"/>
    <s v="Married"/>
    <s v="US Citizen"/>
    <s v="No"/>
    <s v="White"/>
    <d v="2016-07-21T00:00:00"/>
    <m/>
    <s v="N/A-StillEmployed"/>
    <x v="0"/>
    <x v="0"/>
    <s v="Kelley Spirea"/>
    <n v="18"/>
    <s v="Employee Referral"/>
    <x v="0"/>
    <n v="4.4000000000000004"/>
    <n v="3"/>
    <n v="0"/>
    <d v="2019-01-14T00:00:00"/>
    <n v="0"/>
    <n v="16"/>
    <x v="0"/>
    <n v="9"/>
    <s v="5-10 Years"/>
    <x v="0"/>
  </r>
  <r>
    <s v="Beatrice, Courtney "/>
    <n v="10055"/>
    <n v="0"/>
    <n v="0"/>
    <n v="0"/>
    <n v="1"/>
    <n v="5"/>
    <n v="3"/>
    <n v="0"/>
    <n v="59026"/>
    <n v="0"/>
    <n v="19"/>
    <x v="0"/>
    <s v="MA"/>
    <n v="1915"/>
    <d v="1970-10-27T00:00:00"/>
    <x v="1"/>
    <s v="Single"/>
    <s v="Eligible NonCitizen"/>
    <s v="No"/>
    <s v="White"/>
    <d v="2011-04-04T00:00:00"/>
    <m/>
    <s v="N/A-StillEmployed"/>
    <x v="0"/>
    <x v="0"/>
    <s v="Elijiah Gray"/>
    <n v="16"/>
    <s v="Google Search"/>
    <x v="1"/>
    <n v="5"/>
    <n v="5"/>
    <n v="0"/>
    <d v="2019-01-14T00:00:00"/>
    <n v="0"/>
    <n v="12"/>
    <x v="0"/>
    <n v="15"/>
    <s v="10+ Years"/>
    <x v="0"/>
  </r>
  <r>
    <s v="Becker, Renee"/>
    <n v="10245"/>
    <n v="0"/>
    <n v="0"/>
    <n v="0"/>
    <n v="4"/>
    <n v="3"/>
    <n v="3"/>
    <n v="0"/>
    <n v="110000"/>
    <n v="1"/>
    <n v="8"/>
    <x v="6"/>
    <s v="MA"/>
    <n v="2026"/>
    <d v="1986-04-04T00:00:00"/>
    <x v="1"/>
    <s v="Single"/>
    <s v="US Citizen"/>
    <s v="Yes"/>
    <s v="White"/>
    <d v="2014-07-07T00:00:00"/>
    <d v="2015-09-12T00:00:00"/>
    <s v="performance"/>
    <x v="2"/>
    <x v="1"/>
    <s v="Simon Roup"/>
    <n v="4"/>
    <s v="Google Search"/>
    <x v="1"/>
    <n v="4.5"/>
    <n v="4"/>
    <n v="5"/>
    <d v="2015-01-15T00:00:00"/>
    <n v="0"/>
    <n v="8"/>
    <x v="1"/>
    <n v="1"/>
    <s v="0-2 Years"/>
    <x v="1"/>
  </r>
  <r>
    <s v="Becker, Scott"/>
    <n v="10277"/>
    <n v="0"/>
    <n v="0"/>
    <n v="1"/>
    <n v="3"/>
    <n v="5"/>
    <n v="3"/>
    <n v="0"/>
    <n v="53250"/>
    <n v="0"/>
    <n v="19"/>
    <x v="0"/>
    <s v="MA"/>
    <n v="2452"/>
    <d v="1979-04-06T00:00:00"/>
    <x v="0"/>
    <s v="Single"/>
    <s v="US Citizen"/>
    <s v="No"/>
    <s v="Asian"/>
    <d v="2013-07-08T00:00:00"/>
    <m/>
    <s v="N/A-StillEmployed"/>
    <x v="0"/>
    <x v="0"/>
    <s v="Webster Butler"/>
    <m/>
    <s v="LinkedIn"/>
    <x v="1"/>
    <n v="4.2"/>
    <n v="4"/>
    <n v="0"/>
    <d v="2019-01-11T00:00:00"/>
    <n v="0"/>
    <n v="13"/>
    <x v="0"/>
    <n v="12"/>
    <s v="10+ Years"/>
    <x v="0"/>
  </r>
  <r>
    <s v="Bernstein, Sean"/>
    <n v="10046"/>
    <n v="0"/>
    <n v="0"/>
    <n v="1"/>
    <n v="1"/>
    <n v="5"/>
    <n v="3"/>
    <n v="0"/>
    <n v="51044"/>
    <n v="0"/>
    <n v="19"/>
    <x v="0"/>
    <s v="MA"/>
    <n v="2072"/>
    <d v="1970-12-22T00:00:00"/>
    <x v="0"/>
    <s v="Single"/>
    <s v="US Citizen"/>
    <s v="Yes"/>
    <s v="White"/>
    <d v="2012-04-02T00:00:00"/>
    <m/>
    <s v="N/A-StillEmployed"/>
    <x v="0"/>
    <x v="0"/>
    <s v="Amy Dunn"/>
    <n v="11"/>
    <s v="Google Search"/>
    <x v="1"/>
    <n v="5"/>
    <n v="3"/>
    <n v="0"/>
    <d v="2019-01-14T00:00:00"/>
    <n v="0"/>
    <n v="13"/>
    <x v="0"/>
    <n v="14"/>
    <s v="10+ Years"/>
    <x v="0"/>
  </r>
  <r>
    <s v="Biden, Lowan  M"/>
    <n v="10226"/>
    <n v="0"/>
    <n v="2"/>
    <n v="0"/>
    <n v="1"/>
    <n v="5"/>
    <n v="3"/>
    <n v="0"/>
    <n v="64919"/>
    <n v="0"/>
    <n v="19"/>
    <x v="0"/>
    <s v="MA"/>
    <n v="2027"/>
    <d v="1958-12-27T00:00:00"/>
    <x v="1"/>
    <s v="Divorced"/>
    <s v="US Citizen"/>
    <s v="No"/>
    <s v="Asian"/>
    <d v="2013-08-19T00:00:00"/>
    <m/>
    <s v="N/A-StillEmployed"/>
    <x v="0"/>
    <x v="0"/>
    <s v="Ketsia Liebig"/>
    <n v="19"/>
    <s v="Indeed"/>
    <x v="1"/>
    <n v="4.2"/>
    <n v="3"/>
    <n v="0"/>
    <d v="2019-01-10T00:00:00"/>
    <n v="0"/>
    <n v="2"/>
    <x v="0"/>
    <n v="12"/>
    <s v="10+ Years"/>
    <x v="0"/>
  </r>
  <r>
    <s v="Billis, Helen"/>
    <n v="10003"/>
    <n v="1"/>
    <n v="1"/>
    <n v="0"/>
    <n v="1"/>
    <n v="5"/>
    <n v="4"/>
    <n v="0"/>
    <n v="62910"/>
    <n v="0"/>
    <n v="19"/>
    <x v="0"/>
    <s v="MA"/>
    <n v="2031"/>
    <d v="1989-09-01T00:00:00"/>
    <x v="1"/>
    <s v="Married"/>
    <s v="US Citizen"/>
    <s v="No"/>
    <s v="White"/>
    <d v="2014-07-07T00:00:00"/>
    <m/>
    <s v="N/A-StillEmployed"/>
    <x v="0"/>
    <x v="0"/>
    <s v="Brannon Miller"/>
    <n v="12"/>
    <s v="Indeed"/>
    <x v="0"/>
    <n v="5"/>
    <n v="3"/>
    <n v="0"/>
    <d v="2019-02-27T00:00:00"/>
    <n v="0"/>
    <n v="19"/>
    <x v="0"/>
    <n v="11"/>
    <s v="10+ Years"/>
    <x v="0"/>
  </r>
  <r>
    <s v="Blount, Dianna"/>
    <n v="10294"/>
    <n v="0"/>
    <n v="0"/>
    <n v="0"/>
    <n v="1"/>
    <n v="5"/>
    <n v="2"/>
    <n v="0"/>
    <n v="66441"/>
    <n v="0"/>
    <n v="20"/>
    <x v="2"/>
    <s v="MA"/>
    <n v="2171"/>
    <d v="1990-09-21T00:00:00"/>
    <x v="1"/>
    <s v="Single"/>
    <s v="US Citizen"/>
    <s v="No"/>
    <s v="White"/>
    <d v="2011-04-04T00:00:00"/>
    <m/>
    <s v="N/A-StillEmployed"/>
    <x v="0"/>
    <x v="0"/>
    <s v="Michael Albert"/>
    <n v="22"/>
    <s v="CareerBuilder"/>
    <x v="2"/>
    <n v="2"/>
    <n v="3"/>
    <n v="0"/>
    <d v="2019-02-27T00:00:00"/>
    <n v="2"/>
    <n v="3"/>
    <x v="0"/>
    <n v="15"/>
    <s v="10+ Years"/>
    <x v="0"/>
  </r>
  <r>
    <s v="Bondwell, Betsy"/>
    <n v="10267"/>
    <n v="0"/>
    <n v="0"/>
    <n v="0"/>
    <n v="5"/>
    <n v="5"/>
    <n v="3"/>
    <n v="0"/>
    <n v="57815"/>
    <n v="1"/>
    <n v="20"/>
    <x v="2"/>
    <s v="MA"/>
    <n v="2210"/>
    <d v="1967-01-16T00:00:00"/>
    <x v="1"/>
    <s v="Single"/>
    <s v="US Citizen"/>
    <s v="No"/>
    <s v="White"/>
    <d v="2011-01-10T00:00:00"/>
    <d v="2014-04-04T00:00:00"/>
    <s v="career change"/>
    <x v="1"/>
    <x v="0"/>
    <s v="Elijiah Gray"/>
    <n v="16"/>
    <s v="Google Search"/>
    <x v="1"/>
    <n v="4.8"/>
    <n v="5"/>
    <n v="0"/>
    <d v="2014-03-04T00:00:00"/>
    <n v="0"/>
    <n v="5"/>
    <x v="0"/>
    <n v="3"/>
    <s v="2-5 Years"/>
    <x v="0"/>
  </r>
  <r>
    <s v="Booth, Frank"/>
    <n v="10199"/>
    <n v="0"/>
    <n v="0"/>
    <n v="1"/>
    <n v="4"/>
    <n v="3"/>
    <n v="3"/>
    <n v="0"/>
    <n v="103613"/>
    <n v="1"/>
    <n v="30"/>
    <x v="7"/>
    <s v="CT"/>
    <n v="6033"/>
    <d v="1964-07-30T00:00:00"/>
    <x v="0"/>
    <s v="Single"/>
    <s v="US Citizen"/>
    <s v="No"/>
    <s v="Black or African American"/>
    <d v="2014-02-17T00:00:00"/>
    <d v="2016-02-19T00:00:00"/>
    <s v="Learned that he is a gangster"/>
    <x v="2"/>
    <x v="1"/>
    <s v="Simon Roup"/>
    <n v="4"/>
    <s v="LinkedIn"/>
    <x v="1"/>
    <n v="3.5"/>
    <n v="5"/>
    <n v="7"/>
    <d v="2016-01-10T00:00:00"/>
    <n v="0"/>
    <n v="2"/>
    <x v="1"/>
    <n v="2"/>
    <s v="2-5 Years"/>
    <x v="1"/>
  </r>
  <r>
    <s v="Boutwell, Bonalyn"/>
    <n v="10081"/>
    <n v="1"/>
    <n v="1"/>
    <n v="0"/>
    <n v="1"/>
    <n v="1"/>
    <n v="3"/>
    <n v="1"/>
    <n v="106367"/>
    <n v="0"/>
    <n v="26"/>
    <x v="8"/>
    <s v="MA"/>
    <n v="2468"/>
    <d v="1987-04-04T00:00:00"/>
    <x v="1"/>
    <s v="Married"/>
    <s v="US Citizen"/>
    <s v="No"/>
    <s v="Black or African American"/>
    <d v="2015-02-16T00:00:00"/>
    <m/>
    <s v="N/A-StillEmployed"/>
    <x v="0"/>
    <x v="3"/>
    <s v="Brandon R. LeBlanc"/>
    <n v="3"/>
    <s v="Diversity Job Fair"/>
    <x v="1"/>
    <n v="5"/>
    <n v="4"/>
    <n v="3"/>
    <d v="2019-02-18T00:00:00"/>
    <n v="0"/>
    <n v="4"/>
    <x v="0"/>
    <n v="11"/>
    <s v="10+ Years"/>
    <x v="1"/>
  </r>
  <r>
    <s v="Bozzi, Charles"/>
    <n v="10175"/>
    <n v="0"/>
    <n v="0"/>
    <n v="1"/>
    <n v="5"/>
    <n v="5"/>
    <n v="3"/>
    <n v="0"/>
    <n v="74312"/>
    <n v="1"/>
    <n v="18"/>
    <x v="9"/>
    <s v="MA"/>
    <n v="1901"/>
    <d v="1970-03-10T00:00:00"/>
    <x v="0"/>
    <s v="Single"/>
    <s v="US Citizen"/>
    <s v="No"/>
    <s v="Asian"/>
    <d v="2013-09-30T00:00:00"/>
    <d v="2014-08-07T00:00:00"/>
    <s v="retiring"/>
    <x v="1"/>
    <x v="0"/>
    <s v="Janet King"/>
    <n v="2"/>
    <s v="Indeed"/>
    <x v="1"/>
    <n v="3.39"/>
    <n v="3"/>
    <n v="0"/>
    <d v="2014-02-20T00:00:00"/>
    <n v="0"/>
    <n v="14"/>
    <x v="0"/>
    <n v="0"/>
    <s v="0-2 Years"/>
    <x v="2"/>
  </r>
  <r>
    <s v="Brill, Donna"/>
    <n v="10177"/>
    <n v="1"/>
    <n v="1"/>
    <n v="0"/>
    <n v="5"/>
    <n v="5"/>
    <n v="3"/>
    <n v="0"/>
    <n v="53492"/>
    <n v="1"/>
    <n v="19"/>
    <x v="0"/>
    <s v="MA"/>
    <n v="1701"/>
    <d v="1990-08-24T00:00:00"/>
    <x v="1"/>
    <s v="Married"/>
    <s v="US Citizen"/>
    <s v="No"/>
    <s v="White"/>
    <d v="2012-04-02T00:00:00"/>
    <d v="2013-06-15T00:00:00"/>
    <s v="Another position"/>
    <x v="1"/>
    <x v="0"/>
    <s v="David Stanley"/>
    <n v="14"/>
    <s v="Google Search"/>
    <x v="1"/>
    <n v="3.35"/>
    <n v="4"/>
    <n v="0"/>
    <d v="2013-03-04T00:00:00"/>
    <n v="0"/>
    <n v="6"/>
    <x v="0"/>
    <n v="1"/>
    <s v="0-2 Years"/>
    <x v="0"/>
  </r>
  <r>
    <s v="Brown, Mia"/>
    <n v="10238"/>
    <n v="1"/>
    <n v="1"/>
    <n v="0"/>
    <n v="1"/>
    <n v="1"/>
    <n v="3"/>
    <n v="1"/>
    <n v="63000"/>
    <n v="0"/>
    <n v="1"/>
    <x v="10"/>
    <s v="MA"/>
    <n v="1450"/>
    <d v="1987-11-24T00:00:00"/>
    <x v="1"/>
    <s v="Married"/>
    <s v="US Citizen"/>
    <s v="No"/>
    <s v="Black or African American"/>
    <d v="2008-10-27T00:00:00"/>
    <m/>
    <s v="N/A-StillEmployed"/>
    <x v="0"/>
    <x v="3"/>
    <s v="Brandon R. LeBlanc"/>
    <n v="1"/>
    <s v="Diversity Job Fair"/>
    <x v="1"/>
    <n v="4.5"/>
    <n v="2"/>
    <n v="6"/>
    <d v="2019-01-15T00:00:00"/>
    <n v="0"/>
    <n v="14"/>
    <x v="0"/>
    <n v="17"/>
    <s v="10+ Years"/>
    <x v="1"/>
  </r>
  <r>
    <s v="Buccheri, Joseph  "/>
    <n v="10184"/>
    <n v="0"/>
    <n v="0"/>
    <n v="1"/>
    <n v="1"/>
    <n v="5"/>
    <n v="3"/>
    <n v="0"/>
    <n v="65288"/>
    <n v="0"/>
    <n v="20"/>
    <x v="2"/>
    <s v="MA"/>
    <n v="1013"/>
    <d v="1983-07-28T00:00:00"/>
    <x v="0"/>
    <s v="Single"/>
    <s v="US Citizen"/>
    <s v="No"/>
    <s v="White"/>
    <d v="2014-09-29T00:00:00"/>
    <m/>
    <s v="N/A-StillEmployed"/>
    <x v="0"/>
    <x v="0"/>
    <s v="Webster Butler"/>
    <m/>
    <s v="Google Search"/>
    <x v="1"/>
    <n v="3.19"/>
    <n v="3"/>
    <n v="0"/>
    <d v="2019-02-01T00:00:00"/>
    <n v="0"/>
    <n v="9"/>
    <x v="0"/>
    <n v="11"/>
    <s v="10+ Years"/>
    <x v="0"/>
  </r>
  <r>
    <s v="Bugali, Josephine "/>
    <n v="10203"/>
    <n v="0"/>
    <n v="3"/>
    <n v="0"/>
    <n v="3"/>
    <n v="5"/>
    <n v="3"/>
    <n v="1"/>
    <n v="64375"/>
    <n v="0"/>
    <n v="19"/>
    <x v="0"/>
    <s v="MA"/>
    <n v="2043"/>
    <d v="1969-10-30T00:00:00"/>
    <x v="1"/>
    <s v="Separated"/>
    <s v="US Citizen"/>
    <s v="No"/>
    <s v="Black or African American"/>
    <d v="2013-11-11T00:00:00"/>
    <m/>
    <s v="N/A-StillEmployed"/>
    <x v="0"/>
    <x v="0"/>
    <s v="Kissy Sullivan"/>
    <n v="20"/>
    <s v="Diversity Job Fair"/>
    <x v="1"/>
    <n v="3.5"/>
    <n v="5"/>
    <n v="0"/>
    <d v="2019-01-21T00:00:00"/>
    <n v="0"/>
    <n v="17"/>
    <x v="0"/>
    <n v="12"/>
    <s v="10+ Years"/>
    <x v="0"/>
  </r>
  <r>
    <s v="Bunbury, Jessica"/>
    <n v="10188"/>
    <n v="1"/>
    <n v="1"/>
    <n v="0"/>
    <n v="5"/>
    <n v="6"/>
    <n v="3"/>
    <n v="0"/>
    <n v="74326"/>
    <n v="1"/>
    <n v="3"/>
    <x v="11"/>
    <s v="VA"/>
    <n v="21851"/>
    <d v="1964-06-01T00:00:00"/>
    <x v="1"/>
    <s v="Married"/>
    <s v="Eligible NonCitizen"/>
    <s v="No"/>
    <s v="Black or African American"/>
    <d v="2011-08-15T00:00:00"/>
    <d v="2014-08-02T00:00:00"/>
    <s v="Another position"/>
    <x v="1"/>
    <x v="4"/>
    <s v="John Smith"/>
    <n v="17"/>
    <s v="Google Search"/>
    <x v="1"/>
    <n v="3.14"/>
    <n v="5"/>
    <n v="0"/>
    <d v="2013-02-10T00:00:00"/>
    <n v="1"/>
    <n v="19"/>
    <x v="0"/>
    <n v="2"/>
    <s v="2-5 Years"/>
    <x v="2"/>
  </r>
  <r>
    <s v="Burke, Joelle"/>
    <n v="10107"/>
    <n v="0"/>
    <n v="0"/>
    <n v="0"/>
    <n v="1"/>
    <n v="5"/>
    <n v="3"/>
    <n v="0"/>
    <n v="63763"/>
    <n v="0"/>
    <n v="20"/>
    <x v="2"/>
    <s v="MA"/>
    <n v="2148"/>
    <d v="1980-03-02T00:00:00"/>
    <x v="1"/>
    <s v="Single"/>
    <s v="US Citizen"/>
    <s v="No"/>
    <s v="Black or African American"/>
    <d v="2012-03-05T00:00:00"/>
    <m/>
    <s v="N/A-StillEmployed"/>
    <x v="0"/>
    <x v="0"/>
    <s v="Amy Dunn"/>
    <n v="11"/>
    <s v="Employee Referral"/>
    <x v="1"/>
    <n v="4.51"/>
    <n v="4"/>
    <n v="0"/>
    <d v="2019-02-21T00:00:00"/>
    <n v="0"/>
    <n v="3"/>
    <x v="0"/>
    <n v="14"/>
    <s v="10+ Years"/>
    <x v="0"/>
  </r>
  <r>
    <s v="Burkett, Benjamin "/>
    <n v="10181"/>
    <n v="1"/>
    <n v="1"/>
    <n v="1"/>
    <n v="1"/>
    <n v="5"/>
    <n v="3"/>
    <n v="0"/>
    <n v="62162"/>
    <n v="0"/>
    <n v="20"/>
    <x v="2"/>
    <s v="MA"/>
    <n v="1890"/>
    <d v="1977-08-19T00:00:00"/>
    <x v="0"/>
    <s v="Married"/>
    <s v="US Citizen"/>
    <s v="No"/>
    <s v="White"/>
    <d v="2011-04-04T00:00:00"/>
    <m/>
    <s v="N/A-StillEmployed"/>
    <x v="0"/>
    <x v="0"/>
    <s v="Ketsia Liebig"/>
    <n v="19"/>
    <s v="Indeed"/>
    <x v="1"/>
    <n v="3.25"/>
    <n v="5"/>
    <n v="0"/>
    <d v="2019-01-14T00:00:00"/>
    <n v="0"/>
    <n v="15"/>
    <x v="0"/>
    <n v="15"/>
    <s v="10+ Years"/>
    <x v="0"/>
  </r>
  <r>
    <s v="Cady, Max "/>
    <n v="10150"/>
    <n v="0"/>
    <n v="0"/>
    <n v="1"/>
    <n v="1"/>
    <n v="4"/>
    <n v="3"/>
    <n v="0"/>
    <n v="77692"/>
    <n v="0"/>
    <n v="25"/>
    <x v="12"/>
    <s v="MA"/>
    <n v="2184"/>
    <d v="1966-11-22T00:00:00"/>
    <x v="0"/>
    <s v="Single"/>
    <s v="US Citizen"/>
    <s v="No"/>
    <s v="White"/>
    <d v="2011-08-15T00:00:00"/>
    <m/>
    <s v="N/A-StillEmployed"/>
    <x v="0"/>
    <x v="2"/>
    <s v="Jennifer Zamora"/>
    <n v="5"/>
    <s v="Google Search"/>
    <x v="1"/>
    <n v="3.84"/>
    <n v="3"/>
    <n v="5"/>
    <d v="2019-01-21T00:00:00"/>
    <n v="0"/>
    <n v="4"/>
    <x v="1"/>
    <n v="14"/>
    <s v="10+ Years"/>
    <x v="2"/>
  </r>
  <r>
    <s v="Candie, Calvin"/>
    <n v="10001"/>
    <n v="0"/>
    <n v="0"/>
    <n v="1"/>
    <n v="1"/>
    <n v="5"/>
    <n v="4"/>
    <n v="0"/>
    <n v="72640"/>
    <n v="0"/>
    <n v="18"/>
    <x v="9"/>
    <s v="MA"/>
    <n v="2169"/>
    <d v="1983-08-09T00:00:00"/>
    <x v="0"/>
    <s v="Single"/>
    <s v="US Citizen"/>
    <s v="No"/>
    <s v="White"/>
    <d v="2016-01-28T00:00:00"/>
    <m/>
    <s v="N/A-StillEmployed"/>
    <x v="0"/>
    <x v="0"/>
    <s v="Janet King"/>
    <n v="2"/>
    <s v="Indeed"/>
    <x v="0"/>
    <n v="5"/>
    <n v="3"/>
    <n v="0"/>
    <d v="2019-02-22T00:00:00"/>
    <n v="0"/>
    <n v="14"/>
    <x v="0"/>
    <n v="10"/>
    <s v="10+ Years"/>
    <x v="2"/>
  </r>
  <r>
    <s v="Carabbio, Judith"/>
    <n v="10085"/>
    <n v="0"/>
    <n v="0"/>
    <n v="0"/>
    <n v="1"/>
    <n v="4"/>
    <n v="3"/>
    <n v="0"/>
    <n v="93396"/>
    <n v="0"/>
    <n v="24"/>
    <x v="3"/>
    <s v="MA"/>
    <n v="2132"/>
    <d v="1987-04-05T00:00:00"/>
    <x v="1"/>
    <s v="Single"/>
    <s v="US Citizen"/>
    <s v="No"/>
    <s v="White"/>
    <d v="2013-11-11T00:00:00"/>
    <m/>
    <s v="N/A-StillEmployed"/>
    <x v="0"/>
    <x v="2"/>
    <s v="Alex Sweetwater"/>
    <n v="10"/>
    <s v="Indeed"/>
    <x v="1"/>
    <n v="4.96"/>
    <n v="4"/>
    <n v="6"/>
    <d v="2019-01-30T00:00:00"/>
    <n v="0"/>
    <n v="3"/>
    <x v="1"/>
    <n v="12"/>
    <s v="10+ Years"/>
    <x v="1"/>
  </r>
  <r>
    <s v="Carey, Michael  "/>
    <n v="10115"/>
    <n v="0"/>
    <n v="0"/>
    <n v="1"/>
    <n v="1"/>
    <n v="5"/>
    <n v="3"/>
    <n v="0"/>
    <n v="52846"/>
    <n v="0"/>
    <n v="19"/>
    <x v="0"/>
    <s v="MA"/>
    <n v="1701"/>
    <d v="1983-02-02T00:00:00"/>
    <x v="0"/>
    <s v="Single"/>
    <s v="US Citizen"/>
    <s v="No"/>
    <s v="Black or African American"/>
    <d v="2014-03-31T00:00:00"/>
    <m/>
    <s v="N/A-StillEmployed"/>
    <x v="0"/>
    <x v="0"/>
    <s v="Kelley Spirea"/>
    <n v="18"/>
    <s v="LinkedIn"/>
    <x v="1"/>
    <n v="4.43"/>
    <n v="3"/>
    <n v="0"/>
    <d v="2019-02-01T00:00:00"/>
    <n v="0"/>
    <n v="14"/>
    <x v="0"/>
    <n v="12"/>
    <s v="10+ Years"/>
    <x v="0"/>
  </r>
  <r>
    <s v="Carr, Claudia  N"/>
    <n v="10082"/>
    <n v="0"/>
    <n v="0"/>
    <n v="0"/>
    <n v="2"/>
    <n v="3"/>
    <n v="3"/>
    <n v="0"/>
    <n v="100031"/>
    <n v="0"/>
    <n v="27"/>
    <x v="1"/>
    <s v="MA"/>
    <n v="1886"/>
    <d v="1986-06-06T00:00:00"/>
    <x v="1"/>
    <s v="Single"/>
    <s v="US Citizen"/>
    <s v="No"/>
    <s v="Black or African American"/>
    <d v="2016-06-30T00:00:00"/>
    <m/>
    <s v="N/A-StillEmployed"/>
    <x v="0"/>
    <x v="1"/>
    <s v="Simon Roup"/>
    <n v="4"/>
    <s v="LinkedIn"/>
    <x v="1"/>
    <n v="5"/>
    <n v="5"/>
    <n v="6"/>
    <d v="2019-02-18T00:00:00"/>
    <n v="0"/>
    <n v="7"/>
    <x v="1"/>
    <n v="9"/>
    <s v="5-10 Years"/>
    <x v="1"/>
  </r>
  <r>
    <s v="Carter, Michelle "/>
    <n v="10040"/>
    <n v="0"/>
    <n v="0"/>
    <n v="0"/>
    <n v="1"/>
    <n v="6"/>
    <n v="3"/>
    <n v="0"/>
    <n v="71860"/>
    <n v="0"/>
    <n v="3"/>
    <x v="11"/>
    <s v="VT"/>
    <n v="5664"/>
    <d v="1963-05-15T00:00:00"/>
    <x v="1"/>
    <s v="Single"/>
    <s v="US Citizen"/>
    <s v="No"/>
    <s v="White"/>
    <d v="2014-08-18T00:00:00"/>
    <m/>
    <s v="N/A-StillEmployed"/>
    <x v="0"/>
    <x v="4"/>
    <s v="John Smith"/>
    <n v="17"/>
    <s v="Indeed"/>
    <x v="1"/>
    <n v="5"/>
    <n v="5"/>
    <n v="0"/>
    <d v="2019-01-21T00:00:00"/>
    <n v="0"/>
    <n v="7"/>
    <x v="0"/>
    <n v="11"/>
    <s v="10+ Years"/>
    <x v="2"/>
  </r>
  <r>
    <s v="Chace, Beatrice "/>
    <n v="10067"/>
    <n v="0"/>
    <n v="0"/>
    <n v="0"/>
    <n v="1"/>
    <n v="5"/>
    <n v="3"/>
    <n v="0"/>
    <n v="61656"/>
    <n v="0"/>
    <n v="19"/>
    <x v="0"/>
    <s v="MA"/>
    <n v="2763"/>
    <d v="1951-01-02T00:00:00"/>
    <x v="1"/>
    <s v="Single"/>
    <s v="US Citizen"/>
    <s v="No"/>
    <s v="White"/>
    <d v="2014-09-29T00:00:00"/>
    <m/>
    <s v="N/A-StillEmployed"/>
    <x v="0"/>
    <x v="0"/>
    <s v="Michael Albert"/>
    <n v="22"/>
    <s v="Google Search"/>
    <x v="1"/>
    <n v="5"/>
    <n v="4"/>
    <n v="0"/>
    <d v="2019-02-12T00:00:00"/>
    <n v="0"/>
    <n v="11"/>
    <x v="0"/>
    <n v="11"/>
    <s v="10+ Years"/>
    <x v="0"/>
  </r>
  <r>
    <s v="Champaigne, Brian"/>
    <n v="10108"/>
    <n v="1"/>
    <n v="1"/>
    <n v="1"/>
    <n v="1"/>
    <n v="3"/>
    <n v="3"/>
    <n v="0"/>
    <n v="110929"/>
    <n v="0"/>
    <n v="5"/>
    <x v="13"/>
    <s v="MA"/>
    <n v="2045"/>
    <d v="1972-02-09T00:00:00"/>
    <x v="0"/>
    <s v="Married"/>
    <s v="US Citizen"/>
    <s v="No"/>
    <s v="White"/>
    <d v="2016-09-06T00:00:00"/>
    <m/>
    <s v="N/A-StillEmployed"/>
    <x v="0"/>
    <x v="1"/>
    <s v="Jennifer Zamora"/>
    <n v="5"/>
    <s v="Indeed"/>
    <x v="1"/>
    <n v="4.5"/>
    <n v="5"/>
    <n v="7"/>
    <d v="2019-01-15T00:00:00"/>
    <n v="0"/>
    <n v="8"/>
    <x v="1"/>
    <n v="9"/>
    <s v="5-10 Years"/>
    <x v="1"/>
  </r>
  <r>
    <s v="Chan, Lin"/>
    <n v="10210"/>
    <n v="0"/>
    <n v="0"/>
    <n v="0"/>
    <n v="1"/>
    <n v="5"/>
    <n v="3"/>
    <n v="0"/>
    <n v="54237"/>
    <n v="0"/>
    <n v="19"/>
    <x v="0"/>
    <s v="MA"/>
    <n v="2170"/>
    <d v="1979-02-12T00:00:00"/>
    <x v="1"/>
    <s v="Single"/>
    <s v="US Citizen"/>
    <s v="No"/>
    <s v="White"/>
    <d v="2014-05-12T00:00:00"/>
    <m/>
    <s v="N/A-StillEmployed"/>
    <x v="0"/>
    <x v="0"/>
    <s v="Elijiah Gray"/>
    <n v="16"/>
    <s v="Indeed"/>
    <x v="1"/>
    <n v="3.3"/>
    <n v="4"/>
    <n v="0"/>
    <d v="2019-02-19T00:00:00"/>
    <n v="0"/>
    <n v="11"/>
    <x v="0"/>
    <n v="11"/>
    <s v="10+ Years"/>
    <x v="0"/>
  </r>
  <r>
    <s v="Chang, Donovan  E"/>
    <n v="10154"/>
    <n v="0"/>
    <n v="0"/>
    <n v="1"/>
    <n v="1"/>
    <n v="5"/>
    <n v="3"/>
    <n v="0"/>
    <n v="60380"/>
    <n v="0"/>
    <n v="19"/>
    <x v="0"/>
    <s v="MA"/>
    <n v="1845"/>
    <d v="1983-08-24T00:00:00"/>
    <x v="0"/>
    <s v="Single"/>
    <s v="US Citizen"/>
    <s v="No"/>
    <s v="White"/>
    <d v="2013-07-08T00:00:00"/>
    <m/>
    <s v="N/A-StillEmployed"/>
    <x v="0"/>
    <x v="0"/>
    <s v="Webster Butler"/>
    <m/>
    <s v="LinkedIn"/>
    <x v="1"/>
    <n v="3.8"/>
    <n v="5"/>
    <n v="0"/>
    <d v="2019-01-14T00:00:00"/>
    <n v="0"/>
    <n v="4"/>
    <x v="0"/>
    <n v="12"/>
    <s v="10+ Years"/>
    <x v="0"/>
  </r>
  <r>
    <s v="Chigurh, Anton"/>
    <n v="10200"/>
    <n v="0"/>
    <n v="0"/>
    <n v="1"/>
    <n v="1"/>
    <n v="6"/>
    <n v="3"/>
    <n v="0"/>
    <n v="66808"/>
    <n v="0"/>
    <n v="3"/>
    <x v="11"/>
    <s v="TX"/>
    <n v="78207"/>
    <d v="1970-06-11T00:00:00"/>
    <x v="0"/>
    <s v="Single"/>
    <s v="Eligible NonCitizen"/>
    <s v="No"/>
    <s v="Black or African American"/>
    <d v="2012-05-14T00:00:00"/>
    <m/>
    <s v="N/A-StillEmployed"/>
    <x v="0"/>
    <x v="4"/>
    <s v="Lynn Daneault"/>
    <n v="21"/>
    <s v="Employee Referral"/>
    <x v="1"/>
    <n v="3"/>
    <n v="5"/>
    <n v="0"/>
    <d v="2019-01-19T00:00:00"/>
    <n v="0"/>
    <n v="17"/>
    <x v="0"/>
    <n v="13"/>
    <s v="10+ Years"/>
    <x v="2"/>
  </r>
  <r>
    <s v="Chivukula, Enola"/>
    <n v="10240"/>
    <n v="0"/>
    <n v="0"/>
    <n v="0"/>
    <n v="5"/>
    <n v="5"/>
    <n v="3"/>
    <n v="0"/>
    <n v="64786"/>
    <n v="1"/>
    <n v="19"/>
    <x v="0"/>
    <s v="MA"/>
    <n v="1775"/>
    <d v="1983-08-27T00:00:00"/>
    <x v="1"/>
    <s v="Single"/>
    <s v="US Citizen"/>
    <s v="No"/>
    <s v="White"/>
    <d v="2011-06-27T00:00:00"/>
    <d v="2015-11-15T00:00:00"/>
    <s v="relocation out of area"/>
    <x v="1"/>
    <x v="0"/>
    <s v="Amy Dunn"/>
    <n v="11"/>
    <s v="Indeed"/>
    <x v="1"/>
    <n v="4.3"/>
    <n v="4"/>
    <n v="0"/>
    <d v="2015-03-10T00:00:00"/>
    <n v="0"/>
    <n v="3"/>
    <x v="0"/>
    <n v="4"/>
    <s v="2-5 Years"/>
    <x v="0"/>
  </r>
  <r>
    <s v="Cierpiszewski, Caroline  "/>
    <n v="10168"/>
    <n v="0"/>
    <n v="0"/>
    <n v="0"/>
    <n v="1"/>
    <n v="5"/>
    <n v="3"/>
    <n v="0"/>
    <n v="64816"/>
    <n v="0"/>
    <n v="19"/>
    <x v="0"/>
    <s v="MA"/>
    <n v="2044"/>
    <d v="1988-05-31T00:00:00"/>
    <x v="1"/>
    <s v="Single"/>
    <s v="Non-Citizen"/>
    <s v="No"/>
    <s v="Black or African American"/>
    <d v="2011-10-03T00:00:00"/>
    <m/>
    <s v="N/A-StillEmployed"/>
    <x v="0"/>
    <x v="0"/>
    <s v="Ketsia Liebig"/>
    <n v="19"/>
    <s v="Indeed"/>
    <x v="1"/>
    <n v="3.58"/>
    <n v="5"/>
    <n v="0"/>
    <d v="2019-01-30T00:00:00"/>
    <n v="0"/>
    <n v="3"/>
    <x v="0"/>
    <n v="14"/>
    <s v="10+ Years"/>
    <x v="0"/>
  </r>
  <r>
    <s v="Clayton, Rick"/>
    <n v="10220"/>
    <n v="0"/>
    <n v="0"/>
    <n v="1"/>
    <n v="1"/>
    <n v="3"/>
    <n v="3"/>
    <n v="0"/>
    <n v="68678"/>
    <n v="0"/>
    <n v="14"/>
    <x v="4"/>
    <s v="MA"/>
    <n v="2170"/>
    <d v="1985-09-05T00:00:00"/>
    <x v="0"/>
    <s v="Single"/>
    <s v="US Citizen"/>
    <s v="No"/>
    <s v="White"/>
    <d v="2012-09-05T00:00:00"/>
    <m/>
    <s v="N/A-StillEmployed"/>
    <x v="0"/>
    <x v="1"/>
    <s v="Eric Dougall"/>
    <n v="6"/>
    <s v="Indeed"/>
    <x v="1"/>
    <n v="4.7"/>
    <n v="3"/>
    <n v="6"/>
    <d v="2019-02-27T00:00:00"/>
    <n v="0"/>
    <n v="2"/>
    <x v="1"/>
    <n v="13"/>
    <s v="10+ Years"/>
    <x v="1"/>
  </r>
  <r>
    <s v="Cloninger, Jennifer"/>
    <n v="10275"/>
    <n v="1"/>
    <n v="1"/>
    <n v="0"/>
    <n v="5"/>
    <n v="5"/>
    <n v="3"/>
    <n v="0"/>
    <n v="64066"/>
    <n v="1"/>
    <n v="20"/>
    <x v="2"/>
    <s v="MA"/>
    <n v="1752"/>
    <d v="1981-08-31T00:00:00"/>
    <x v="1"/>
    <s v="Married"/>
    <s v="US Citizen"/>
    <s v="No"/>
    <s v="White"/>
    <d v="2011-05-16T00:00:00"/>
    <d v="2013-01-07T00:00:00"/>
    <s v="unhappy"/>
    <x v="1"/>
    <x v="0"/>
    <s v="Brannon Miller"/>
    <n v="12"/>
    <s v="Google Search"/>
    <x v="1"/>
    <n v="4.2"/>
    <n v="5"/>
    <n v="0"/>
    <d v="2012-05-03T00:00:00"/>
    <n v="0"/>
    <n v="9"/>
    <x v="0"/>
    <n v="1"/>
    <s v="0-2 Years"/>
    <x v="0"/>
  </r>
  <r>
    <s v="Close, Phil"/>
    <n v="10269"/>
    <n v="1"/>
    <n v="1"/>
    <n v="1"/>
    <n v="5"/>
    <n v="5"/>
    <n v="3"/>
    <n v="0"/>
    <n v="59369"/>
    <n v="1"/>
    <n v="20"/>
    <x v="2"/>
    <s v="MA"/>
    <n v="2169"/>
    <d v="1978-11-25T00:00:00"/>
    <x v="0"/>
    <s v="Married"/>
    <s v="US Citizen"/>
    <s v="No"/>
    <s v="White"/>
    <d v="2010-08-30T00:00:00"/>
    <d v="2011-09-26T00:00:00"/>
    <s v="career change"/>
    <x v="1"/>
    <x v="0"/>
    <s v="David Stanley"/>
    <n v="14"/>
    <s v="Indeed"/>
    <x v="1"/>
    <n v="4.2"/>
    <n v="4"/>
    <n v="0"/>
    <d v="2011-05-04T00:00:00"/>
    <n v="0"/>
    <n v="6"/>
    <x v="0"/>
    <n v="1"/>
    <s v="0-2 Years"/>
    <x v="0"/>
  </r>
  <r>
    <s v="Clukey, Elijian"/>
    <n v="10029"/>
    <n v="1"/>
    <n v="1"/>
    <n v="1"/>
    <n v="2"/>
    <n v="5"/>
    <n v="4"/>
    <n v="0"/>
    <n v="50373"/>
    <n v="0"/>
    <n v="19"/>
    <x v="0"/>
    <s v="MA"/>
    <n v="2134"/>
    <d v="1980-08-26T00:00:00"/>
    <x v="0"/>
    <s v="Married"/>
    <s v="US Citizen"/>
    <s v="No"/>
    <s v="White"/>
    <d v="2016-07-06T00:00:00"/>
    <m/>
    <s v="N/A-StillEmployed"/>
    <x v="0"/>
    <x v="0"/>
    <s v="Brannon Miller"/>
    <n v="12"/>
    <s v="Employee Referral"/>
    <x v="0"/>
    <n v="4.0999999999999996"/>
    <n v="4"/>
    <n v="0"/>
    <d v="2019-02-28T00:00:00"/>
    <n v="0"/>
    <n v="5"/>
    <x v="0"/>
    <n v="9"/>
    <s v="5-10 Years"/>
    <x v="0"/>
  </r>
  <r>
    <s v="Cockel, James"/>
    <n v="10261"/>
    <n v="0"/>
    <n v="0"/>
    <n v="1"/>
    <n v="1"/>
    <n v="5"/>
    <n v="3"/>
    <n v="0"/>
    <n v="63108"/>
    <n v="0"/>
    <n v="19"/>
    <x v="0"/>
    <s v="MA"/>
    <n v="2452"/>
    <d v="1977-09-08T00:00:00"/>
    <x v="0"/>
    <s v="Single"/>
    <s v="US Citizen"/>
    <s v="No"/>
    <s v="White"/>
    <d v="2013-07-08T00:00:00"/>
    <m/>
    <s v="N/A-StillEmployed"/>
    <x v="0"/>
    <x v="0"/>
    <s v="David Stanley"/>
    <n v="14"/>
    <s v="Employee Referral"/>
    <x v="1"/>
    <n v="4.4000000000000004"/>
    <n v="5"/>
    <n v="0"/>
    <d v="2019-01-14T00:00:00"/>
    <n v="0"/>
    <n v="3"/>
    <x v="0"/>
    <n v="12"/>
    <s v="10+ Years"/>
    <x v="0"/>
  </r>
  <r>
    <s v="Cole, Spencer"/>
    <n v="10292"/>
    <n v="0"/>
    <n v="0"/>
    <n v="1"/>
    <n v="4"/>
    <n v="5"/>
    <n v="2"/>
    <n v="0"/>
    <n v="59144"/>
    <n v="1"/>
    <n v="19"/>
    <x v="0"/>
    <s v="MA"/>
    <n v="1880"/>
    <d v="1979-08-12T00:00:00"/>
    <x v="0"/>
    <s v="Single"/>
    <s v="US Citizen"/>
    <s v="No"/>
    <s v="Black or African American"/>
    <d v="2011-07-11T00:00:00"/>
    <d v="2016-09-23T00:00:00"/>
    <s v="performance"/>
    <x v="2"/>
    <x v="0"/>
    <s v="Kissy Sullivan"/>
    <n v="20"/>
    <s v="LinkedIn"/>
    <x v="2"/>
    <n v="2"/>
    <n v="3"/>
    <n v="0"/>
    <d v="2016-05-01T00:00:00"/>
    <n v="5"/>
    <n v="16"/>
    <x v="0"/>
    <n v="5"/>
    <s v="5-10 Years"/>
    <x v="0"/>
  </r>
  <r>
    <s v="Corleone, Michael"/>
    <n v="10282"/>
    <n v="0"/>
    <n v="2"/>
    <n v="1"/>
    <n v="1"/>
    <n v="5"/>
    <n v="2"/>
    <n v="0"/>
    <n v="68051"/>
    <n v="0"/>
    <n v="18"/>
    <x v="9"/>
    <s v="MA"/>
    <n v="1803"/>
    <d v="1975-12-17T00:00:00"/>
    <x v="0"/>
    <s v="Divorced"/>
    <s v="US Citizen"/>
    <s v="No"/>
    <s v="White"/>
    <d v="2010-07-20T00:00:00"/>
    <m/>
    <s v="N/A-StillEmployed"/>
    <x v="0"/>
    <x v="0"/>
    <s v="Janet King"/>
    <n v="2"/>
    <s v="CareerBuilder"/>
    <x v="2"/>
    <n v="4.13"/>
    <n v="2"/>
    <n v="0"/>
    <d v="2019-01-14T00:00:00"/>
    <n v="3"/>
    <n v="3"/>
    <x v="0"/>
    <n v="15"/>
    <s v="10+ Years"/>
    <x v="2"/>
  </r>
  <r>
    <s v="Corleone, Vito"/>
    <n v="10019"/>
    <n v="0"/>
    <n v="0"/>
    <n v="1"/>
    <n v="1"/>
    <n v="5"/>
    <n v="4"/>
    <n v="0"/>
    <n v="170500"/>
    <n v="0"/>
    <n v="10"/>
    <x v="14"/>
    <s v="MA"/>
    <n v="2030"/>
    <d v="1983-03-19T00:00:00"/>
    <x v="0"/>
    <s v="Single"/>
    <s v="US Citizen"/>
    <s v="No"/>
    <s v="Black or African American"/>
    <d v="2009-01-05T00:00:00"/>
    <m/>
    <s v="N/A-StillEmployed"/>
    <x v="0"/>
    <x v="0"/>
    <s v="Janet King"/>
    <n v="2"/>
    <s v="Indeed"/>
    <x v="0"/>
    <n v="3.7"/>
    <n v="5"/>
    <n v="0"/>
    <d v="2019-02-04T00:00:00"/>
    <n v="0"/>
    <n v="15"/>
    <x v="0"/>
    <n v="17"/>
    <s v="10+ Years"/>
    <x v="1"/>
  </r>
  <r>
    <s v="Cornett, Lisa "/>
    <n v="10094"/>
    <n v="1"/>
    <n v="1"/>
    <n v="0"/>
    <n v="1"/>
    <n v="5"/>
    <n v="3"/>
    <n v="0"/>
    <n v="63381"/>
    <n v="0"/>
    <n v="19"/>
    <x v="0"/>
    <s v="MA"/>
    <n v="2189"/>
    <d v="1977-03-31T00:00:00"/>
    <x v="1"/>
    <s v="Married"/>
    <s v="US Citizen"/>
    <s v="Yes"/>
    <s v="White"/>
    <d v="2015-01-05T00:00:00"/>
    <m/>
    <s v="N/A-StillEmployed"/>
    <x v="0"/>
    <x v="0"/>
    <s v="Kelley Spirea"/>
    <n v="18"/>
    <s v="Indeed"/>
    <x v="1"/>
    <n v="4.7300000000000004"/>
    <n v="5"/>
    <n v="0"/>
    <d v="2019-02-14T00:00:00"/>
    <n v="0"/>
    <n v="6"/>
    <x v="0"/>
    <n v="11"/>
    <s v="10+ Years"/>
    <x v="0"/>
  </r>
  <r>
    <s v="Costello, Frank"/>
    <n v="10193"/>
    <n v="1"/>
    <n v="1"/>
    <n v="1"/>
    <n v="1"/>
    <n v="3"/>
    <n v="3"/>
    <n v="0"/>
    <n v="83552"/>
    <n v="0"/>
    <n v="9"/>
    <x v="5"/>
    <s v="MA"/>
    <n v="1810"/>
    <d v="1986-08-26T00:00:00"/>
    <x v="0"/>
    <s v="Married"/>
    <s v="US Citizen"/>
    <s v="No"/>
    <s v="White"/>
    <d v="2015-03-30T00:00:00"/>
    <m/>
    <s v="N/A-StillEmployed"/>
    <x v="0"/>
    <x v="1"/>
    <s v="Simon Roup"/>
    <n v="4"/>
    <s v="Indeed"/>
    <x v="1"/>
    <n v="3.04"/>
    <n v="3"/>
    <n v="6"/>
    <d v="2019-01-22T00:00:00"/>
    <n v="0"/>
    <n v="2"/>
    <x v="1"/>
    <n v="11"/>
    <s v="10+ Years"/>
    <x v="1"/>
  </r>
  <r>
    <s v="Crimmings,   Jean"/>
    <n v="10132"/>
    <n v="0"/>
    <n v="0"/>
    <n v="0"/>
    <n v="2"/>
    <n v="5"/>
    <n v="3"/>
    <n v="0"/>
    <n v="56149"/>
    <n v="0"/>
    <n v="19"/>
    <x v="0"/>
    <s v="MA"/>
    <n v="1821"/>
    <d v="1987-04-10T00:00:00"/>
    <x v="1"/>
    <s v="Single"/>
    <s v="US Citizen"/>
    <s v="No"/>
    <s v="White"/>
    <d v="2016-07-06T00:00:00"/>
    <m/>
    <s v="N/A-StillEmployed"/>
    <x v="0"/>
    <x v="0"/>
    <s v="Michael Albert"/>
    <n v="22"/>
    <s v="LinkedIn"/>
    <x v="1"/>
    <n v="4.12"/>
    <n v="5"/>
    <n v="0"/>
    <d v="2019-01-28T00:00:00"/>
    <n v="0"/>
    <n v="15"/>
    <x v="0"/>
    <n v="9"/>
    <s v="5-10 Years"/>
    <x v="0"/>
  </r>
  <r>
    <s v="Cross, Noah"/>
    <n v="10083"/>
    <n v="0"/>
    <n v="0"/>
    <n v="1"/>
    <n v="1"/>
    <n v="3"/>
    <n v="3"/>
    <n v="0"/>
    <n v="92329"/>
    <n v="0"/>
    <n v="28"/>
    <x v="15"/>
    <s v="CT"/>
    <n v="6278"/>
    <d v="1965-09-09T00:00:00"/>
    <x v="0"/>
    <s v="Single"/>
    <s v="US Citizen"/>
    <s v="No"/>
    <s v="White"/>
    <d v="2014-11-10T00:00:00"/>
    <m/>
    <s v="N/A-StillEmployed"/>
    <x v="0"/>
    <x v="1"/>
    <s v="Peter Monroe"/>
    <n v="7"/>
    <s v="Employee Referral"/>
    <x v="1"/>
    <n v="5"/>
    <n v="3"/>
    <n v="4"/>
    <d v="2019-01-02T00:00:00"/>
    <n v="0"/>
    <n v="5"/>
    <x v="1"/>
    <n v="11"/>
    <s v="10+ Years"/>
    <x v="1"/>
  </r>
  <r>
    <s v="Daneault, Lynn"/>
    <n v="10099"/>
    <n v="0"/>
    <n v="0"/>
    <n v="0"/>
    <n v="1"/>
    <n v="6"/>
    <n v="3"/>
    <n v="0"/>
    <n v="65729"/>
    <n v="0"/>
    <n v="21"/>
    <x v="16"/>
    <s v="VT"/>
    <n v="5473"/>
    <d v="1990-04-19T00:00:00"/>
    <x v="1"/>
    <s v="Single"/>
    <s v="US Citizen"/>
    <s v="No"/>
    <s v="White"/>
    <d v="2014-05-05T00:00:00"/>
    <m/>
    <s v="N/A-StillEmployed"/>
    <x v="0"/>
    <x v="4"/>
    <s v="Debra Houlihan"/>
    <n v="15"/>
    <s v="Indeed"/>
    <x v="1"/>
    <n v="4.62"/>
    <n v="4"/>
    <n v="0"/>
    <d v="2019-01-24T00:00:00"/>
    <n v="0"/>
    <n v="8"/>
    <x v="0"/>
    <n v="11"/>
    <s v="10+ Years"/>
    <x v="2"/>
  </r>
  <r>
    <s v="Daniele, Ann  "/>
    <n v="10212"/>
    <n v="1"/>
    <n v="1"/>
    <n v="0"/>
    <n v="3"/>
    <n v="3"/>
    <n v="3"/>
    <n v="0"/>
    <n v="85028"/>
    <n v="0"/>
    <n v="28"/>
    <x v="15"/>
    <s v="CT"/>
    <n v="6033"/>
    <d v="1952-01-18T00:00:00"/>
    <x v="1"/>
    <s v="Married"/>
    <s v="US Citizen"/>
    <s v="No"/>
    <s v="White"/>
    <d v="2014-11-10T00:00:00"/>
    <m/>
    <s v="N/A-StillEmployed"/>
    <x v="0"/>
    <x v="1"/>
    <s v="Peter Monroe"/>
    <n v="7"/>
    <s v="LinkedIn"/>
    <x v="1"/>
    <n v="3.1"/>
    <n v="5"/>
    <n v="8"/>
    <d v="2019-02-12T00:00:00"/>
    <n v="0"/>
    <n v="19"/>
    <x v="1"/>
    <n v="11"/>
    <s v="10+ Years"/>
    <x v="1"/>
  </r>
  <r>
    <s v="Darson, Jene'ya "/>
    <n v="10056"/>
    <n v="1"/>
    <n v="1"/>
    <n v="0"/>
    <n v="1"/>
    <n v="5"/>
    <n v="3"/>
    <n v="0"/>
    <n v="57583"/>
    <n v="0"/>
    <n v="19"/>
    <x v="0"/>
    <s v="MA"/>
    <n v="2110"/>
    <d v="1978-11-05T00:00:00"/>
    <x v="1"/>
    <s v="Married"/>
    <s v="US Citizen"/>
    <s v="No"/>
    <s v="White"/>
    <d v="2012-07-02T00:00:00"/>
    <m/>
    <s v="N/A-StillEmployed"/>
    <x v="0"/>
    <x v="0"/>
    <s v="Elijiah Gray"/>
    <n v="16"/>
    <s v="Indeed"/>
    <x v="1"/>
    <n v="5"/>
    <n v="3"/>
    <n v="0"/>
    <d v="2019-02-25T00:00:00"/>
    <n v="0"/>
    <n v="1"/>
    <x v="0"/>
    <n v="13"/>
    <s v="10+ Years"/>
    <x v="0"/>
  </r>
  <r>
    <s v="Davis, Daniel"/>
    <n v="10143"/>
    <n v="0"/>
    <n v="0"/>
    <n v="1"/>
    <n v="1"/>
    <n v="5"/>
    <n v="3"/>
    <n v="0"/>
    <n v="56294"/>
    <n v="0"/>
    <n v="20"/>
    <x v="2"/>
    <s v="MA"/>
    <n v="2458"/>
    <d v="1979-09-14T00:00:00"/>
    <x v="0"/>
    <s v="Single"/>
    <s v="Eligible NonCitizen"/>
    <s v="No"/>
    <s v="Two or more races"/>
    <d v="2011-11-07T00:00:00"/>
    <m/>
    <s v="N/A-StillEmployed"/>
    <x v="0"/>
    <x v="0"/>
    <s v="Kissy Sullivan"/>
    <n v="20"/>
    <s v="LinkedIn"/>
    <x v="1"/>
    <n v="3.96"/>
    <n v="4"/>
    <n v="0"/>
    <d v="2019-02-27T00:00:00"/>
    <n v="0"/>
    <n v="6"/>
    <x v="0"/>
    <n v="14"/>
    <s v="10+ Years"/>
    <x v="0"/>
  </r>
  <r>
    <s v="Dee, Randy"/>
    <n v="10311"/>
    <n v="1"/>
    <n v="1"/>
    <n v="1"/>
    <n v="1"/>
    <n v="6"/>
    <n v="1"/>
    <n v="0"/>
    <n v="56991"/>
    <n v="0"/>
    <n v="19"/>
    <x v="0"/>
    <s v="MA"/>
    <n v="2138"/>
    <d v="1988-04-15T00:00:00"/>
    <x v="0"/>
    <s v="Married"/>
    <s v="US Citizen"/>
    <s v="No"/>
    <s v="White"/>
    <d v="2018-07-09T00:00:00"/>
    <m/>
    <s v="N/A-StillEmployed"/>
    <x v="0"/>
    <x v="0"/>
    <s v="Brannon Miller"/>
    <n v="12"/>
    <s v="Indeed"/>
    <x v="1"/>
    <n v="4.3"/>
    <n v="4"/>
    <n v="3"/>
    <d v="2019-01-31T00:00:00"/>
    <n v="2"/>
    <n v="2"/>
    <x v="0"/>
    <n v="7"/>
    <s v="5-10 Years"/>
    <x v="0"/>
  </r>
  <r>
    <s v="DeGweck,  James"/>
    <n v="10070"/>
    <n v="1"/>
    <n v="1"/>
    <n v="1"/>
    <n v="5"/>
    <n v="5"/>
    <n v="3"/>
    <n v="0"/>
    <n v="55722"/>
    <n v="1"/>
    <n v="19"/>
    <x v="0"/>
    <s v="MA"/>
    <n v="1810"/>
    <d v="1977-10-31T00:00:00"/>
    <x v="0"/>
    <s v="Married"/>
    <s v="US Citizen"/>
    <s v="No"/>
    <s v="White"/>
    <d v="2011-05-16T00:00:00"/>
    <d v="2016-06-08T00:00:00"/>
    <s v="unhappy"/>
    <x v="1"/>
    <x v="0"/>
    <s v="Webster Butler"/>
    <n v="39"/>
    <s v="Indeed"/>
    <x v="1"/>
    <n v="5"/>
    <n v="4"/>
    <n v="0"/>
    <d v="2016-04-02T00:00:00"/>
    <n v="0"/>
    <n v="14"/>
    <x v="0"/>
    <n v="5"/>
    <s v="5-10 Years"/>
    <x v="0"/>
  </r>
  <r>
    <s v="Del Bosque, Keyla"/>
    <n v="10155"/>
    <n v="0"/>
    <n v="0"/>
    <n v="0"/>
    <n v="1"/>
    <n v="4"/>
    <n v="3"/>
    <n v="0"/>
    <n v="101199"/>
    <n v="0"/>
    <n v="24"/>
    <x v="3"/>
    <s v="MA"/>
    <n v="2176"/>
    <d v="1979-07-05T00:00:00"/>
    <x v="1"/>
    <s v="Single"/>
    <s v="US Citizen"/>
    <s v="No"/>
    <s v="Black or African American"/>
    <d v="2012-01-09T00:00:00"/>
    <m/>
    <s v="N/A-StillEmployed"/>
    <x v="0"/>
    <x v="2"/>
    <s v="Alex Sweetwater"/>
    <n v="10"/>
    <s v="CareerBuilder"/>
    <x v="1"/>
    <n v="3.79"/>
    <n v="5"/>
    <n v="5"/>
    <d v="2019-01-25T00:00:00"/>
    <n v="0"/>
    <n v="8"/>
    <x v="1"/>
    <n v="14"/>
    <s v="10+ Years"/>
    <x v="1"/>
  </r>
  <r>
    <s v="Delarge, Alex"/>
    <n v="10306"/>
    <n v="0"/>
    <n v="0"/>
    <n v="1"/>
    <n v="1"/>
    <n v="6"/>
    <n v="1"/>
    <n v="0"/>
    <n v="61568"/>
    <n v="0"/>
    <n v="3"/>
    <x v="11"/>
    <s v="AL"/>
    <n v="36006"/>
    <d v="1975-11-02T00:00:00"/>
    <x v="0"/>
    <s v="Single"/>
    <s v="US Citizen"/>
    <s v="No"/>
    <s v="Two or more races"/>
    <d v="2014-09-29T00:00:00"/>
    <m/>
    <s v="N/A-StillEmployed"/>
    <x v="0"/>
    <x v="4"/>
    <s v="John Smith"/>
    <n v="17"/>
    <s v="Indeed"/>
    <x v="3"/>
    <n v="1.93"/>
    <n v="3"/>
    <n v="0"/>
    <d v="2019-01-30T00:00:00"/>
    <n v="6"/>
    <n v="5"/>
    <x v="0"/>
    <n v="11"/>
    <s v="10+ Years"/>
    <x v="2"/>
  </r>
  <r>
    <s v="Demita, Carla"/>
    <n v="10100"/>
    <n v="0"/>
    <n v="3"/>
    <n v="0"/>
    <n v="5"/>
    <n v="5"/>
    <n v="3"/>
    <n v="0"/>
    <n v="58275"/>
    <n v="1"/>
    <n v="20"/>
    <x v="2"/>
    <s v="MA"/>
    <n v="2343"/>
    <d v="1951-02-25T00:00:00"/>
    <x v="1"/>
    <s v="Separated"/>
    <s v="US Citizen"/>
    <s v="No"/>
    <s v="Black or African American"/>
    <d v="2011-04-04T00:00:00"/>
    <d v="2015-11-04T00:00:00"/>
    <s v="more money"/>
    <x v="1"/>
    <x v="0"/>
    <s v="Kelley Spirea"/>
    <n v="18"/>
    <s v="Google Search"/>
    <x v="1"/>
    <n v="4.62"/>
    <n v="5"/>
    <n v="0"/>
    <d v="2015-05-06T00:00:00"/>
    <n v="0"/>
    <n v="1"/>
    <x v="0"/>
    <n v="4"/>
    <s v="2-5 Years"/>
    <x v="0"/>
  </r>
  <r>
    <s v="Desimone, Carl "/>
    <n v="10310"/>
    <n v="1"/>
    <n v="1"/>
    <n v="1"/>
    <n v="1"/>
    <n v="5"/>
    <n v="1"/>
    <n v="0"/>
    <n v="53189"/>
    <n v="0"/>
    <n v="19"/>
    <x v="0"/>
    <s v="MA"/>
    <n v="2061"/>
    <d v="1967-04-19T00:00:00"/>
    <x v="0"/>
    <s v="Married"/>
    <s v="US Citizen"/>
    <s v="No"/>
    <s v="White"/>
    <d v="2014-07-07T00:00:00"/>
    <m/>
    <s v="N/A-StillEmployed"/>
    <x v="0"/>
    <x v="0"/>
    <s v="Amy Dunn"/>
    <n v="11"/>
    <s v="Indeed"/>
    <x v="3"/>
    <n v="1.1200000000000001"/>
    <n v="2"/>
    <n v="0"/>
    <d v="2019-01-31T00:00:00"/>
    <n v="4"/>
    <n v="9"/>
    <x v="0"/>
    <n v="11"/>
    <s v="10+ Years"/>
    <x v="0"/>
  </r>
  <r>
    <s v="DeVito, Tommy"/>
    <n v="10197"/>
    <n v="0"/>
    <n v="0"/>
    <n v="1"/>
    <n v="1"/>
    <n v="3"/>
    <n v="3"/>
    <n v="0"/>
    <n v="96820"/>
    <n v="0"/>
    <n v="4"/>
    <x v="17"/>
    <s v="MA"/>
    <n v="2045"/>
    <d v="1983-09-04T00:00:00"/>
    <x v="0"/>
    <s v="Single"/>
    <s v="US Citizen"/>
    <s v="No"/>
    <s v="White"/>
    <d v="2017-02-15T00:00:00"/>
    <m/>
    <s v="N/A-StillEmployed"/>
    <x v="0"/>
    <x v="1"/>
    <s v="Brian Champaigne"/>
    <n v="13"/>
    <s v="Indeed"/>
    <x v="1"/>
    <n v="3.01"/>
    <n v="5"/>
    <n v="7"/>
    <d v="2019-01-23T00:00:00"/>
    <n v="0"/>
    <n v="15"/>
    <x v="1"/>
    <n v="9"/>
    <s v="5-10 Years"/>
    <x v="1"/>
  </r>
  <r>
    <s v="Dickinson, Geoff "/>
    <n v="10276"/>
    <n v="0"/>
    <n v="0"/>
    <n v="1"/>
    <n v="1"/>
    <n v="5"/>
    <n v="3"/>
    <n v="0"/>
    <n v="51259"/>
    <n v="0"/>
    <n v="19"/>
    <x v="0"/>
    <s v="MA"/>
    <n v="2180"/>
    <d v="1982-11-15T00:00:00"/>
    <x v="0"/>
    <s v="Single"/>
    <s v="US Citizen"/>
    <s v="No"/>
    <s v="White"/>
    <d v="2014-05-12T00:00:00"/>
    <m/>
    <s v="N/A-StillEmployed"/>
    <x v="0"/>
    <x v="0"/>
    <s v="Ketsia Liebig"/>
    <n v="19"/>
    <s v="Indeed"/>
    <x v="1"/>
    <n v="4.3"/>
    <n v="4"/>
    <n v="0"/>
    <d v="2019-02-19T00:00:00"/>
    <n v="0"/>
    <n v="1"/>
    <x v="0"/>
    <n v="11"/>
    <s v="10+ Years"/>
    <x v="0"/>
  </r>
  <r>
    <s v="Dietrich, Jenna  "/>
    <n v="10304"/>
    <n v="0"/>
    <n v="0"/>
    <n v="0"/>
    <n v="1"/>
    <n v="6"/>
    <n v="1"/>
    <n v="0"/>
    <n v="59231"/>
    <n v="0"/>
    <n v="3"/>
    <x v="11"/>
    <s v="WA"/>
    <n v="98052"/>
    <d v="1987-05-14T00:00:00"/>
    <x v="1"/>
    <s v="Single"/>
    <s v="US Citizen"/>
    <s v="Yes"/>
    <s v="White"/>
    <d v="2012-02-20T00:00:00"/>
    <m/>
    <s v="N/A-StillEmployed"/>
    <x v="0"/>
    <x v="4"/>
    <s v="John Smith"/>
    <n v="17"/>
    <s v="Website"/>
    <x v="3"/>
    <n v="2.2999999999999998"/>
    <n v="1"/>
    <n v="0"/>
    <d v="2019-01-29T00:00:00"/>
    <n v="2"/>
    <n v="17"/>
    <x v="0"/>
    <n v="14"/>
    <s v="10+ Years"/>
    <x v="2"/>
  </r>
  <r>
    <s v="DiNocco, Lily "/>
    <n v="10284"/>
    <n v="1"/>
    <n v="1"/>
    <n v="0"/>
    <n v="1"/>
    <n v="5"/>
    <n v="2"/>
    <n v="0"/>
    <n v="61584"/>
    <n v="0"/>
    <n v="19"/>
    <x v="0"/>
    <s v="MA"/>
    <n v="2351"/>
    <d v="1978-12-02T00:00:00"/>
    <x v="1"/>
    <s v="Married"/>
    <s v="US Citizen"/>
    <s v="No"/>
    <s v="Black or African American"/>
    <d v="2013-01-07T00:00:00"/>
    <m/>
    <s v="N/A-StillEmployed"/>
    <x v="0"/>
    <x v="0"/>
    <s v="Brannon Miller"/>
    <n v="12"/>
    <s v="Indeed"/>
    <x v="2"/>
    <n v="3.88"/>
    <n v="4"/>
    <n v="0"/>
    <d v="2019-01-18T00:00:00"/>
    <n v="0"/>
    <n v="6"/>
    <x v="0"/>
    <n v="13"/>
    <s v="10+ Years"/>
    <x v="0"/>
  </r>
  <r>
    <s v="Dobrin, Denisa  S"/>
    <n v="10207"/>
    <n v="0"/>
    <n v="0"/>
    <n v="0"/>
    <n v="1"/>
    <n v="5"/>
    <n v="3"/>
    <n v="0"/>
    <n v="46335"/>
    <n v="0"/>
    <n v="19"/>
    <x v="0"/>
    <s v="MA"/>
    <n v="2125"/>
    <d v="1986-10-07T00:00:00"/>
    <x v="1"/>
    <s v="Single"/>
    <s v="US Citizen"/>
    <s v="Yes"/>
    <s v="White"/>
    <d v="2012-04-02T00:00:00"/>
    <m/>
    <s v="N/A-StillEmployed"/>
    <x v="0"/>
    <x v="0"/>
    <s v="David Stanley"/>
    <n v="14"/>
    <s v="CareerBuilder"/>
    <x v="1"/>
    <n v="3.4"/>
    <n v="5"/>
    <n v="0"/>
    <d v="2019-02-19T00:00:00"/>
    <n v="0"/>
    <n v="15"/>
    <x v="0"/>
    <n v="14"/>
    <s v="10+ Years"/>
    <x v="0"/>
  </r>
  <r>
    <s v="Dolan, Linda"/>
    <n v="10133"/>
    <n v="1"/>
    <n v="1"/>
    <n v="0"/>
    <n v="1"/>
    <n v="3"/>
    <n v="3"/>
    <n v="0"/>
    <n v="70621"/>
    <n v="0"/>
    <n v="14"/>
    <x v="4"/>
    <s v="MA"/>
    <n v="2119"/>
    <d v="1988-07-18T00:00:00"/>
    <x v="1"/>
    <s v="Married"/>
    <s v="US Citizen"/>
    <s v="No"/>
    <s v="White"/>
    <d v="2015-01-05T00:00:00"/>
    <m/>
    <s v="N/A-StillEmployed"/>
    <x v="0"/>
    <x v="1"/>
    <s v="Peter Monroe"/>
    <n v="7"/>
    <s v="Employee Referral"/>
    <x v="1"/>
    <n v="4.1100000000000003"/>
    <n v="4"/>
    <n v="6"/>
    <d v="2019-02-25T00:00:00"/>
    <n v="0"/>
    <n v="16"/>
    <x v="1"/>
    <n v="11"/>
    <s v="10+ Years"/>
    <x v="1"/>
  </r>
  <r>
    <s v="Dougall, Eric"/>
    <n v="10028"/>
    <n v="0"/>
    <n v="0"/>
    <n v="1"/>
    <n v="1"/>
    <n v="3"/>
    <n v="4"/>
    <n v="0"/>
    <n v="138888"/>
    <n v="0"/>
    <n v="13"/>
    <x v="18"/>
    <s v="MA"/>
    <n v="1886"/>
    <d v="1970-07-09T00:00:00"/>
    <x v="0"/>
    <s v="Single"/>
    <s v="US Citizen"/>
    <s v="No"/>
    <s v="Black or African American"/>
    <d v="2014-01-05T00:00:00"/>
    <m/>
    <s v="N/A-StillEmployed"/>
    <x v="0"/>
    <x v="1"/>
    <s v="Jennifer Zamora"/>
    <n v="5"/>
    <s v="Indeed"/>
    <x v="0"/>
    <n v="4.3"/>
    <n v="5"/>
    <n v="5"/>
    <d v="2019-01-04T00:00:00"/>
    <n v="0"/>
    <n v="4"/>
    <x v="1"/>
    <n v="12"/>
    <s v="10+ Years"/>
    <x v="2"/>
  </r>
  <r>
    <s v="Driver, Elle"/>
    <n v="10006"/>
    <n v="0"/>
    <n v="0"/>
    <n v="0"/>
    <n v="1"/>
    <n v="6"/>
    <n v="4"/>
    <n v="0"/>
    <n v="74241"/>
    <n v="0"/>
    <n v="3"/>
    <x v="11"/>
    <s v="CA"/>
    <n v="90007"/>
    <d v="1988-11-08T00:00:00"/>
    <x v="1"/>
    <s v="Single"/>
    <s v="US Citizen"/>
    <s v="No"/>
    <s v="White"/>
    <d v="2011-01-10T00:00:00"/>
    <m/>
    <s v="N/A-StillEmployed"/>
    <x v="0"/>
    <x v="4"/>
    <s v="Lynn Daneault"/>
    <n v="21"/>
    <s v="Indeed"/>
    <x v="0"/>
    <n v="4.7699999999999996"/>
    <n v="5"/>
    <n v="0"/>
    <d v="2019-01-27T00:00:00"/>
    <n v="0"/>
    <n v="14"/>
    <x v="0"/>
    <n v="15"/>
    <s v="10+ Years"/>
    <x v="2"/>
  </r>
  <r>
    <s v="Dunn, Amy  "/>
    <n v="10105"/>
    <n v="0"/>
    <n v="0"/>
    <n v="0"/>
    <n v="1"/>
    <n v="5"/>
    <n v="3"/>
    <n v="0"/>
    <n v="75188"/>
    <n v="0"/>
    <n v="18"/>
    <x v="9"/>
    <s v="MA"/>
    <n v="1731"/>
    <d v="1973-11-28T00:00:00"/>
    <x v="1"/>
    <s v="Single"/>
    <s v="US Citizen"/>
    <s v="No"/>
    <s v="White"/>
    <d v="2014-09-18T00:00:00"/>
    <m/>
    <s v="N/A-StillEmployed"/>
    <x v="0"/>
    <x v="0"/>
    <s v="Janet King"/>
    <n v="2"/>
    <s v="Google Search"/>
    <x v="1"/>
    <n v="4.5199999999999996"/>
    <n v="4"/>
    <n v="0"/>
    <d v="2019-01-15T00:00:00"/>
    <n v="0"/>
    <n v="4"/>
    <x v="0"/>
    <n v="11"/>
    <s v="10+ Years"/>
    <x v="2"/>
  </r>
  <r>
    <s v="Dunne, Amy"/>
    <n v="10211"/>
    <n v="1"/>
    <n v="1"/>
    <n v="0"/>
    <n v="1"/>
    <n v="5"/>
    <n v="3"/>
    <n v="0"/>
    <n v="62514"/>
    <n v="0"/>
    <n v="19"/>
    <x v="0"/>
    <s v="MA"/>
    <n v="1749"/>
    <d v="1973-09-23T00:00:00"/>
    <x v="1"/>
    <s v="Married"/>
    <s v="US Citizen"/>
    <s v="No"/>
    <s v="White"/>
    <d v="2010-04-26T00:00:00"/>
    <m/>
    <s v="N/A-StillEmployed"/>
    <x v="0"/>
    <x v="0"/>
    <s v="Ketsia Liebig"/>
    <n v="19"/>
    <s v="Google Search"/>
    <x v="1"/>
    <n v="2.9"/>
    <n v="3"/>
    <n v="0"/>
    <d v="2019-01-21T00:00:00"/>
    <n v="0"/>
    <n v="6"/>
    <x v="0"/>
    <n v="15"/>
    <s v="10+ Years"/>
    <x v="0"/>
  </r>
  <r>
    <s v="Eaton, Marianne"/>
    <n v="10064"/>
    <n v="1"/>
    <n v="1"/>
    <n v="0"/>
    <n v="5"/>
    <n v="5"/>
    <n v="3"/>
    <n v="0"/>
    <n v="60070"/>
    <n v="1"/>
    <n v="19"/>
    <x v="0"/>
    <s v="MA"/>
    <n v="2343"/>
    <d v="1991-09-05T00:00:00"/>
    <x v="1"/>
    <s v="Married"/>
    <s v="US Citizen"/>
    <s v="No"/>
    <s v="White"/>
    <d v="2011-04-04T00:00:00"/>
    <d v="2017-06-06T00:00:00"/>
    <s v="military"/>
    <x v="1"/>
    <x v="0"/>
    <s v="Kissy Sullivan"/>
    <n v="20"/>
    <s v="Google Search"/>
    <x v="1"/>
    <n v="5"/>
    <n v="3"/>
    <n v="0"/>
    <d v="2017-04-09T00:00:00"/>
    <n v="0"/>
    <n v="7"/>
    <x v="0"/>
    <n v="6"/>
    <s v="5-10 Years"/>
    <x v="0"/>
  </r>
  <r>
    <s v="Engdahl, Jean"/>
    <n v="10247"/>
    <n v="0"/>
    <n v="0"/>
    <n v="1"/>
    <n v="1"/>
    <n v="5"/>
    <n v="3"/>
    <n v="0"/>
    <n v="48888"/>
    <n v="0"/>
    <n v="19"/>
    <x v="0"/>
    <s v="MA"/>
    <n v="2026"/>
    <d v="1974-05-31T00:00:00"/>
    <x v="0"/>
    <s v="Single"/>
    <s v="US Citizen"/>
    <s v="No"/>
    <s v="White"/>
    <d v="2014-11-10T00:00:00"/>
    <m/>
    <s v="N/A-StillEmployed"/>
    <x v="0"/>
    <x v="0"/>
    <s v="Kelley Spirea"/>
    <n v="18"/>
    <s v="LinkedIn"/>
    <x v="1"/>
    <n v="4.7"/>
    <n v="5"/>
    <n v="0"/>
    <d v="2019-02-13T00:00:00"/>
    <n v="0"/>
    <n v="8"/>
    <x v="0"/>
    <n v="11"/>
    <s v="10+ Years"/>
    <x v="0"/>
  </r>
  <r>
    <s v="England, Rex"/>
    <n v="10235"/>
    <n v="1"/>
    <n v="1"/>
    <n v="1"/>
    <n v="1"/>
    <n v="5"/>
    <n v="3"/>
    <n v="0"/>
    <n v="54285"/>
    <n v="0"/>
    <n v="19"/>
    <x v="0"/>
    <s v="MA"/>
    <n v="2045"/>
    <d v="1978-08-25T00:00:00"/>
    <x v="0"/>
    <s v="Married"/>
    <s v="US Citizen"/>
    <s v="No"/>
    <s v="White"/>
    <d v="2014-03-31T00:00:00"/>
    <m/>
    <s v="N/A-StillEmployed"/>
    <x v="0"/>
    <x v="0"/>
    <s v="Kelley Spirea"/>
    <n v="18"/>
    <s v="Employee Referral"/>
    <x v="1"/>
    <n v="4.2"/>
    <n v="3"/>
    <n v="0"/>
    <d v="2019-01-11T00:00:00"/>
    <n v="0"/>
    <n v="3"/>
    <x v="0"/>
    <n v="12"/>
    <s v="10+ Years"/>
    <x v="0"/>
  </r>
  <r>
    <s v="Erilus, Angela"/>
    <n v="10299"/>
    <n v="0"/>
    <n v="3"/>
    <n v="0"/>
    <n v="1"/>
    <n v="5"/>
    <n v="1"/>
    <n v="0"/>
    <n v="56847"/>
    <n v="0"/>
    <n v="20"/>
    <x v="2"/>
    <s v="MA"/>
    <n v="2133"/>
    <d v="1989-08-25T00:00:00"/>
    <x v="1"/>
    <s v="Separated"/>
    <s v="US Citizen"/>
    <s v="No"/>
    <s v="White"/>
    <d v="2014-07-07T00:00:00"/>
    <m/>
    <s v="N/A-StillEmployed"/>
    <x v="0"/>
    <x v="0"/>
    <s v="Michael Albert"/>
    <n v="22"/>
    <s v="Indeed"/>
    <x v="3"/>
    <n v="3"/>
    <n v="1"/>
    <n v="0"/>
    <d v="2019-02-25T00:00:00"/>
    <n v="2"/>
    <n v="5"/>
    <x v="0"/>
    <n v="11"/>
    <s v="10+ Years"/>
    <x v="0"/>
  </r>
  <r>
    <s v="Estremera, Miguel"/>
    <n v="10280"/>
    <n v="0"/>
    <n v="0"/>
    <n v="1"/>
    <n v="4"/>
    <n v="5"/>
    <n v="2"/>
    <n v="0"/>
    <n v="60340"/>
    <n v="1"/>
    <n v="19"/>
    <x v="0"/>
    <s v="MA"/>
    <n v="2129"/>
    <d v="1983-09-02T00:00:00"/>
    <x v="0"/>
    <s v="Single"/>
    <s v="US Citizen"/>
    <s v="No"/>
    <s v="White"/>
    <d v="2012-04-02T00:00:00"/>
    <d v="2018-09-27T00:00:00"/>
    <s v="attendance"/>
    <x v="2"/>
    <x v="0"/>
    <s v="Michael Albert"/>
    <n v="22"/>
    <s v="Google Search"/>
    <x v="2"/>
    <n v="5"/>
    <n v="4"/>
    <n v="0"/>
    <d v="2018-04-12T00:00:00"/>
    <n v="5"/>
    <n v="16"/>
    <x v="0"/>
    <n v="6"/>
    <s v="5-10 Years"/>
    <x v="0"/>
  </r>
  <r>
    <s v="Evensen, April"/>
    <n v="10296"/>
    <n v="0"/>
    <n v="0"/>
    <n v="0"/>
    <n v="4"/>
    <n v="5"/>
    <n v="2"/>
    <n v="0"/>
    <n v="59124"/>
    <n v="1"/>
    <n v="19"/>
    <x v="0"/>
    <s v="MA"/>
    <n v="2458"/>
    <d v="1989-05-06T00:00:00"/>
    <x v="1"/>
    <s v="Single"/>
    <s v="US Citizen"/>
    <s v="No"/>
    <s v="White"/>
    <d v="2014-02-17T00:00:00"/>
    <d v="2018-02-25T00:00:00"/>
    <s v="no-call, no-show"/>
    <x v="2"/>
    <x v="0"/>
    <s v="Elijiah Gray"/>
    <n v="16"/>
    <s v="Google Search"/>
    <x v="2"/>
    <n v="2.2999999999999998"/>
    <n v="3"/>
    <n v="0"/>
    <d v="2017-01-15T00:00:00"/>
    <n v="5"/>
    <n v="19"/>
    <x v="0"/>
    <n v="4"/>
    <s v="2-5 Years"/>
    <x v="0"/>
  </r>
  <r>
    <s v="Exantus, Susan"/>
    <n v="10290"/>
    <n v="1"/>
    <n v="1"/>
    <n v="0"/>
    <n v="4"/>
    <n v="4"/>
    <n v="2"/>
    <n v="0"/>
    <n v="99280"/>
    <n v="1"/>
    <n v="24"/>
    <x v="3"/>
    <s v="MA"/>
    <n v="1749"/>
    <d v="1987-05-15T00:00:00"/>
    <x v="1"/>
    <s v="Married"/>
    <s v="US Citizen"/>
    <s v="No"/>
    <s v="Black or African American"/>
    <d v="2011-05-02T00:00:00"/>
    <d v="2013-06-05T00:00:00"/>
    <s v="attendance"/>
    <x v="2"/>
    <x v="2"/>
    <s v="Alex Sweetwater"/>
    <n v="10"/>
    <s v="Indeed"/>
    <x v="2"/>
    <n v="2.1"/>
    <n v="5"/>
    <n v="4"/>
    <d v="2012-08-10T00:00:00"/>
    <n v="4"/>
    <n v="19"/>
    <x v="1"/>
    <n v="2"/>
    <s v="2-5 Years"/>
    <x v="1"/>
  </r>
  <r>
    <s v="Faller, Megan "/>
    <n v="10263"/>
    <n v="1"/>
    <n v="1"/>
    <n v="0"/>
    <n v="1"/>
    <n v="5"/>
    <n v="3"/>
    <n v="0"/>
    <n v="71776"/>
    <n v="0"/>
    <n v="20"/>
    <x v="2"/>
    <s v="MA"/>
    <n v="1824"/>
    <d v="1978-09-22T00:00:00"/>
    <x v="1"/>
    <s v="Married"/>
    <s v="US Citizen"/>
    <s v="No"/>
    <s v="Black or African American"/>
    <d v="2014-07-07T00:00:00"/>
    <m/>
    <s v="N/A-StillEmployed"/>
    <x v="0"/>
    <x v="0"/>
    <s v="Elijiah Gray"/>
    <n v="16"/>
    <s v="LinkedIn"/>
    <x v="1"/>
    <n v="4.4000000000000004"/>
    <n v="5"/>
    <n v="0"/>
    <d v="2019-02-22T00:00:00"/>
    <n v="0"/>
    <n v="17"/>
    <x v="0"/>
    <n v="11"/>
    <s v="10+ Years"/>
    <x v="0"/>
  </r>
  <r>
    <s v="Fancett, Nicole"/>
    <n v="10136"/>
    <n v="0"/>
    <n v="0"/>
    <n v="0"/>
    <n v="1"/>
    <n v="5"/>
    <n v="3"/>
    <n v="0"/>
    <n v="65902"/>
    <n v="0"/>
    <n v="20"/>
    <x v="2"/>
    <s v="MA"/>
    <n v="2324"/>
    <d v="1987-09-27T00:00:00"/>
    <x v="1"/>
    <s v="Single"/>
    <s v="US Citizen"/>
    <s v="No"/>
    <s v="Black or African American"/>
    <d v="2014-02-17T00:00:00"/>
    <m/>
    <s v="N/A-StillEmployed"/>
    <x v="0"/>
    <x v="0"/>
    <s v="Webster Butler"/>
    <m/>
    <s v="LinkedIn"/>
    <x v="1"/>
    <n v="4"/>
    <n v="4"/>
    <n v="0"/>
    <d v="2019-01-07T00:00:00"/>
    <n v="0"/>
    <n v="7"/>
    <x v="0"/>
    <n v="12"/>
    <s v="10+ Years"/>
    <x v="0"/>
  </r>
  <r>
    <s v="Ferguson, Susan"/>
    <n v="10189"/>
    <n v="1"/>
    <n v="1"/>
    <n v="0"/>
    <n v="5"/>
    <n v="5"/>
    <n v="3"/>
    <n v="0"/>
    <n v="57748"/>
    <n v="1"/>
    <n v="19"/>
    <x v="0"/>
    <s v="MA"/>
    <n v="2176"/>
    <d v="1955-04-14T00:00:00"/>
    <x v="1"/>
    <s v="Married"/>
    <s v="US Citizen"/>
    <s v="No"/>
    <s v="White"/>
    <d v="2011-11-07T00:00:00"/>
    <d v="2016-05-17T00:00:00"/>
    <s v="military"/>
    <x v="1"/>
    <x v="0"/>
    <s v="Webster Butler"/>
    <n v="39"/>
    <s v="Google Search"/>
    <x v="1"/>
    <n v="3.13"/>
    <n v="3"/>
    <n v="0"/>
    <d v="2016-02-04T00:00:00"/>
    <n v="0"/>
    <n v="16"/>
    <x v="0"/>
    <n v="4"/>
    <s v="2-5 Years"/>
    <x v="0"/>
  </r>
  <r>
    <s v="Fernandes, Nilson  "/>
    <n v="10308"/>
    <n v="1"/>
    <n v="1"/>
    <n v="1"/>
    <n v="1"/>
    <n v="5"/>
    <n v="1"/>
    <n v="0"/>
    <n v="64057"/>
    <n v="0"/>
    <n v="19"/>
    <x v="0"/>
    <s v="MA"/>
    <n v="2132"/>
    <d v="1989-10-18T00:00:00"/>
    <x v="0"/>
    <s v="Married"/>
    <s v="US Citizen"/>
    <s v="No"/>
    <s v="White"/>
    <d v="2015-05-11T00:00:00"/>
    <m/>
    <s v="N/A-StillEmployed"/>
    <x v="0"/>
    <x v="0"/>
    <s v="Amy Dunn"/>
    <n v="11"/>
    <s v="Indeed"/>
    <x v="3"/>
    <n v="1.56"/>
    <n v="5"/>
    <n v="0"/>
    <d v="2019-01-03T00:00:00"/>
    <n v="6"/>
    <n v="15"/>
    <x v="0"/>
    <n v="10"/>
    <s v="10+ Years"/>
    <x v="0"/>
  </r>
  <r>
    <s v="Fett, Boba"/>
    <n v="10309"/>
    <n v="0"/>
    <n v="0"/>
    <n v="1"/>
    <n v="1"/>
    <n v="3"/>
    <n v="1"/>
    <n v="0"/>
    <n v="53366"/>
    <n v="0"/>
    <n v="15"/>
    <x v="19"/>
    <s v="MA"/>
    <n v="2138"/>
    <d v="1987-06-18T00:00:00"/>
    <x v="0"/>
    <s v="Single"/>
    <s v="US Citizen"/>
    <s v="No"/>
    <s v="White"/>
    <d v="2015-03-30T00:00:00"/>
    <m/>
    <s v="N/A-StillEmployed"/>
    <x v="0"/>
    <x v="1"/>
    <s v="Peter Monroe"/>
    <n v="7"/>
    <s v="LinkedIn"/>
    <x v="3"/>
    <n v="1.2"/>
    <n v="3"/>
    <n v="6"/>
    <d v="2019-02-04T00:00:00"/>
    <n v="3"/>
    <n v="2"/>
    <x v="1"/>
    <n v="11"/>
    <s v="10+ Years"/>
    <x v="1"/>
  </r>
  <r>
    <s v="Fidelia,  Libby"/>
    <n v="10049"/>
    <n v="1"/>
    <n v="1"/>
    <n v="0"/>
    <n v="1"/>
    <n v="5"/>
    <n v="3"/>
    <n v="0"/>
    <n v="58530"/>
    <n v="0"/>
    <n v="19"/>
    <x v="0"/>
    <s v="MA"/>
    <n v="2155"/>
    <d v="1981-03-16T00:00:00"/>
    <x v="1"/>
    <s v="Married"/>
    <s v="US Citizen"/>
    <s v="No"/>
    <s v="White"/>
    <d v="2012-01-09T00:00:00"/>
    <m/>
    <s v="N/A-StillEmployed"/>
    <x v="0"/>
    <x v="0"/>
    <s v="Brannon Miller"/>
    <n v="12"/>
    <s v="Google Search"/>
    <x v="1"/>
    <n v="5"/>
    <n v="5"/>
    <n v="0"/>
    <d v="2019-01-29T00:00:00"/>
    <n v="0"/>
    <n v="19"/>
    <x v="0"/>
    <n v="14"/>
    <s v="10+ Years"/>
    <x v="0"/>
  </r>
  <r>
    <s v="Fitzpatrick, Michael  J"/>
    <n v="10093"/>
    <n v="0"/>
    <n v="0"/>
    <n v="1"/>
    <n v="5"/>
    <n v="5"/>
    <n v="3"/>
    <n v="0"/>
    <n v="72609"/>
    <n v="1"/>
    <n v="20"/>
    <x v="2"/>
    <s v="MA"/>
    <n v="2143"/>
    <d v="1981-10-01T00:00:00"/>
    <x v="0"/>
    <s v="Single"/>
    <s v="US Citizen"/>
    <s v="Yes"/>
    <s v="White"/>
    <d v="2011-05-16T00:00:00"/>
    <d v="2013-06-24T00:00:00"/>
    <s v="hours"/>
    <x v="1"/>
    <x v="0"/>
    <s v="Amy Dunn"/>
    <n v="11"/>
    <s v="Google Search"/>
    <x v="1"/>
    <n v="4.76"/>
    <n v="5"/>
    <n v="0"/>
    <d v="2013-04-05T00:00:00"/>
    <n v="0"/>
    <n v="20"/>
    <x v="0"/>
    <n v="2"/>
    <s v="2-5 Years"/>
    <x v="0"/>
  </r>
  <r>
    <s v="Foreman, Tanya"/>
    <n v="10163"/>
    <n v="1"/>
    <n v="1"/>
    <n v="0"/>
    <n v="5"/>
    <n v="5"/>
    <n v="3"/>
    <n v="0"/>
    <n v="55965"/>
    <n v="1"/>
    <n v="20"/>
    <x v="2"/>
    <s v="MA"/>
    <n v="2170"/>
    <d v="1983-11-08T00:00:00"/>
    <x v="1"/>
    <s v="Married"/>
    <s v="US Citizen"/>
    <s v="No"/>
    <s v="White"/>
    <d v="2011-04-04T00:00:00"/>
    <d v="2013-01-09T00:00:00"/>
    <s v="career change"/>
    <x v="1"/>
    <x v="0"/>
    <s v="Ketsia Liebig"/>
    <n v="19"/>
    <s v="Google Search"/>
    <x v="1"/>
    <n v="3.66"/>
    <n v="3"/>
    <n v="0"/>
    <d v="2012-01-07T00:00:00"/>
    <n v="0"/>
    <n v="6"/>
    <x v="0"/>
    <n v="1"/>
    <s v="0-2 Years"/>
    <x v="0"/>
  </r>
  <r>
    <s v="Forrest, Alex"/>
    <n v="10305"/>
    <n v="1"/>
    <n v="1"/>
    <n v="1"/>
    <n v="1"/>
    <n v="6"/>
    <n v="3"/>
    <n v="0"/>
    <n v="70187"/>
    <n v="1"/>
    <n v="3"/>
    <x v="11"/>
    <s v="MA"/>
    <n v="2330"/>
    <d v="1975-07-07T00:00:00"/>
    <x v="0"/>
    <s v="Married"/>
    <s v="US Citizen"/>
    <s v="No"/>
    <s v="White"/>
    <d v="2014-09-29T00:00:00"/>
    <d v="2018-08-19T00:00:00"/>
    <s v="Fatal attraction"/>
    <x v="2"/>
    <x v="4"/>
    <s v="Lynn Daneault"/>
    <n v="21"/>
    <s v="Employee Referral"/>
    <x v="3"/>
    <n v="2"/>
    <n v="5"/>
    <n v="0"/>
    <d v="2019-01-28T00:00:00"/>
    <n v="4"/>
    <n v="7"/>
    <x v="0"/>
    <n v="3"/>
    <s v="2-5 Years"/>
    <x v="2"/>
  </r>
  <r>
    <s v="Foss, Jason"/>
    <n v="10015"/>
    <n v="0"/>
    <n v="0"/>
    <n v="1"/>
    <n v="1"/>
    <n v="3"/>
    <n v="4"/>
    <n v="0"/>
    <n v="178000"/>
    <n v="0"/>
    <n v="12"/>
    <x v="20"/>
    <s v="MA"/>
    <n v="1460"/>
    <d v="1980-07-05T00:00:00"/>
    <x v="0"/>
    <s v="Single"/>
    <s v="US Citizen"/>
    <s v="No"/>
    <s v="Black or African American"/>
    <d v="2011-04-15T00:00:00"/>
    <m/>
    <s v="N/A-StillEmployed"/>
    <x v="0"/>
    <x v="1"/>
    <s v="Jennifer Zamora"/>
    <n v="5"/>
    <s v="Indeed"/>
    <x v="0"/>
    <n v="5"/>
    <n v="5"/>
    <n v="5"/>
    <d v="2019-01-07T00:00:00"/>
    <n v="0"/>
    <n v="15"/>
    <x v="1"/>
    <n v="15"/>
    <s v="10+ Years"/>
    <x v="1"/>
  </r>
  <r>
    <s v="Foster-Baker, Amy"/>
    <n v="10080"/>
    <n v="1"/>
    <n v="1"/>
    <n v="0"/>
    <n v="1"/>
    <n v="1"/>
    <n v="3"/>
    <n v="0"/>
    <n v="99351"/>
    <n v="0"/>
    <n v="26"/>
    <x v="8"/>
    <s v="MA"/>
    <n v="2050"/>
    <d v="1979-04-16T00:00:00"/>
    <x v="1"/>
    <s v="Married"/>
    <s v="US Citizen"/>
    <s v="No"/>
    <s v="White"/>
    <d v="2009-01-05T00:00:00"/>
    <m/>
    <s v="N/A-StillEmployed"/>
    <x v="0"/>
    <x v="3"/>
    <s v="Board of Directors"/>
    <n v="9"/>
    <s v="Other"/>
    <x v="1"/>
    <n v="5"/>
    <n v="3"/>
    <n v="2"/>
    <d v="2019-02-08T00:00:00"/>
    <n v="0"/>
    <n v="3"/>
    <x v="0"/>
    <n v="17"/>
    <s v="10+ Years"/>
    <x v="1"/>
  </r>
  <r>
    <s v="Fraval, Maruk "/>
    <n v="10258"/>
    <n v="0"/>
    <n v="0"/>
    <n v="1"/>
    <n v="1"/>
    <n v="6"/>
    <n v="3"/>
    <n v="0"/>
    <n v="67251"/>
    <n v="0"/>
    <n v="3"/>
    <x v="11"/>
    <s v="CT"/>
    <n v="6050"/>
    <d v="1963-08-28T00:00:00"/>
    <x v="0"/>
    <s v="Single"/>
    <s v="US Citizen"/>
    <s v="No"/>
    <s v="Black or African American"/>
    <d v="2011-09-06T00:00:00"/>
    <m/>
    <s v="N/A-StillEmployed"/>
    <x v="0"/>
    <x v="4"/>
    <s v="Lynn Daneault"/>
    <n v="21"/>
    <s v="CareerBuilder"/>
    <x v="1"/>
    <n v="4.3"/>
    <n v="3"/>
    <n v="0"/>
    <d v="2019-01-27T00:00:00"/>
    <n v="2"/>
    <n v="7"/>
    <x v="0"/>
    <n v="14"/>
    <s v="10+ Years"/>
    <x v="2"/>
  </r>
  <r>
    <s v="Galia, Lisa"/>
    <n v="10273"/>
    <n v="0"/>
    <n v="0"/>
    <n v="0"/>
    <n v="1"/>
    <n v="3"/>
    <n v="3"/>
    <n v="0"/>
    <n v="65707"/>
    <n v="0"/>
    <n v="14"/>
    <x v="4"/>
    <s v="CT"/>
    <n v="6040"/>
    <d v="1968-07-06T00:00:00"/>
    <x v="1"/>
    <s v="Single"/>
    <s v="US Citizen"/>
    <s v="No"/>
    <s v="White"/>
    <d v="2010-05-01T00:00:00"/>
    <m/>
    <s v="N/A-StillEmployed"/>
    <x v="0"/>
    <x v="1"/>
    <s v="Eric Dougall"/>
    <n v="6"/>
    <s v="LinkedIn"/>
    <x v="1"/>
    <n v="4.7"/>
    <n v="4"/>
    <n v="5"/>
    <d v="2019-02-01T00:00:00"/>
    <n v="0"/>
    <n v="1"/>
    <x v="1"/>
    <n v="15"/>
    <s v="10+ Years"/>
    <x v="1"/>
  </r>
  <r>
    <s v="Garcia, Raul"/>
    <n v="10111"/>
    <n v="0"/>
    <n v="0"/>
    <n v="1"/>
    <n v="1"/>
    <n v="5"/>
    <n v="3"/>
    <n v="0"/>
    <n v="52249"/>
    <n v="0"/>
    <n v="19"/>
    <x v="0"/>
    <s v="MA"/>
    <n v="1905"/>
    <d v="1985-09-15T00:00:00"/>
    <x v="0"/>
    <s v="Single"/>
    <s v="US Citizen"/>
    <s v="Yes"/>
    <s v="White"/>
    <d v="2015-03-30T00:00:00"/>
    <m/>
    <s v="N/A-StillEmployed"/>
    <x v="0"/>
    <x v="0"/>
    <s v="David Stanley"/>
    <n v="14"/>
    <s v="Employee Referral"/>
    <x v="1"/>
    <n v="4.5"/>
    <n v="3"/>
    <n v="0"/>
    <d v="2019-02-18T00:00:00"/>
    <n v="0"/>
    <n v="5"/>
    <x v="0"/>
    <n v="11"/>
    <s v="10+ Years"/>
    <x v="0"/>
  </r>
  <r>
    <s v="Gaul, Barbara"/>
    <n v="10257"/>
    <n v="0"/>
    <n v="0"/>
    <n v="0"/>
    <n v="1"/>
    <n v="5"/>
    <n v="3"/>
    <n v="0"/>
    <n v="53171"/>
    <n v="0"/>
    <n v="19"/>
    <x v="0"/>
    <s v="MA"/>
    <n v="2121"/>
    <d v="1983-12-02T00:00:00"/>
    <x v="1"/>
    <s v="Single"/>
    <s v="US Citizen"/>
    <s v="Yes"/>
    <s v="Black or African American"/>
    <d v="2011-05-16T00:00:00"/>
    <m/>
    <s v="N/A-StillEmployed"/>
    <x v="0"/>
    <x v="0"/>
    <s v="Kelley Spirea"/>
    <n v="18"/>
    <s v="LinkedIn"/>
    <x v="1"/>
    <n v="4.2"/>
    <n v="4"/>
    <n v="0"/>
    <d v="2019-02-26T00:00:00"/>
    <n v="0"/>
    <n v="12"/>
    <x v="0"/>
    <n v="14"/>
    <s v="10+ Years"/>
    <x v="0"/>
  </r>
  <r>
    <s v="Gentry, Mildred"/>
    <n v="10159"/>
    <n v="1"/>
    <n v="1"/>
    <n v="0"/>
    <n v="1"/>
    <n v="5"/>
    <n v="3"/>
    <n v="0"/>
    <n v="51337"/>
    <n v="0"/>
    <n v="19"/>
    <x v="0"/>
    <s v="MA"/>
    <n v="2145"/>
    <d v="1990-10-01T00:00:00"/>
    <x v="1"/>
    <s v="Married"/>
    <s v="US Citizen"/>
    <s v="No"/>
    <s v="Black or African American"/>
    <d v="2015-03-30T00:00:00"/>
    <m/>
    <s v="N/A-StillEmployed"/>
    <x v="0"/>
    <x v="0"/>
    <s v="Michael Albert"/>
    <n v="22"/>
    <s v="LinkedIn"/>
    <x v="1"/>
    <n v="3.73"/>
    <n v="3"/>
    <n v="0"/>
    <d v="2019-01-16T00:00:00"/>
    <n v="0"/>
    <n v="19"/>
    <x v="0"/>
    <n v="11"/>
    <s v="10+ Years"/>
    <x v="0"/>
  </r>
  <r>
    <s v="Gerke, Melisa"/>
    <n v="10122"/>
    <n v="0"/>
    <n v="2"/>
    <n v="0"/>
    <n v="5"/>
    <n v="5"/>
    <n v="3"/>
    <n v="1"/>
    <n v="51505"/>
    <n v="1"/>
    <n v="19"/>
    <x v="0"/>
    <s v="MA"/>
    <n v="2330"/>
    <d v="1970-05-15T00:00:00"/>
    <x v="1"/>
    <s v="Divorced"/>
    <s v="US Citizen"/>
    <s v="No"/>
    <s v="Black or African American"/>
    <d v="2011-11-07T00:00:00"/>
    <d v="2016-11-15T00:00:00"/>
    <s v="hours"/>
    <x v="1"/>
    <x v="0"/>
    <s v="Elijiah Gray"/>
    <n v="16"/>
    <s v="Diversity Job Fair"/>
    <x v="1"/>
    <n v="4.24"/>
    <n v="4"/>
    <n v="0"/>
    <d v="2016-04-29T00:00:00"/>
    <n v="0"/>
    <n v="2"/>
    <x v="0"/>
    <n v="5"/>
    <s v="5-10 Years"/>
    <x v="0"/>
  </r>
  <r>
    <s v="Gill, Whitney  "/>
    <n v="10142"/>
    <n v="0"/>
    <n v="4"/>
    <n v="0"/>
    <n v="4"/>
    <n v="6"/>
    <n v="3"/>
    <n v="0"/>
    <n v="59370"/>
    <n v="1"/>
    <n v="3"/>
    <x v="11"/>
    <s v="OH"/>
    <n v="43050"/>
    <d v="1971-07-10T00:00:00"/>
    <x v="1"/>
    <s v="Widowed"/>
    <s v="US Citizen"/>
    <s v="No"/>
    <s v="Black or African American"/>
    <d v="2014-07-07T00:00:00"/>
    <d v="2015-09-05T00:00:00"/>
    <s v="attendance"/>
    <x v="2"/>
    <x v="4"/>
    <s v="John Smith"/>
    <n v="17"/>
    <s v="CareerBuilder"/>
    <x v="1"/>
    <n v="3.97"/>
    <n v="4"/>
    <n v="0"/>
    <d v="2014-01-15T00:00:00"/>
    <n v="0"/>
    <n v="7"/>
    <x v="0"/>
    <n v="1"/>
    <s v="0-2 Years"/>
    <x v="2"/>
  </r>
  <r>
    <s v="Gilles, Alex"/>
    <n v="10283"/>
    <n v="1"/>
    <n v="1"/>
    <n v="1"/>
    <n v="5"/>
    <n v="5"/>
    <n v="2"/>
    <n v="1"/>
    <n v="54933"/>
    <n v="1"/>
    <n v="19"/>
    <x v="0"/>
    <s v="MA"/>
    <n v="2062"/>
    <d v="1974-08-09T00:00:00"/>
    <x v="0"/>
    <s v="Married"/>
    <s v="US Citizen"/>
    <s v="No"/>
    <s v="Black or African American"/>
    <d v="2012-04-02T00:00:00"/>
    <d v="2015-06-25T00:00:00"/>
    <s v="military"/>
    <x v="1"/>
    <x v="0"/>
    <s v="Webster Butler"/>
    <n v="39"/>
    <s v="Diversity Job Fair"/>
    <x v="2"/>
    <n v="3.97"/>
    <n v="4"/>
    <n v="0"/>
    <d v="2015-01-20T00:00:00"/>
    <n v="3"/>
    <n v="15"/>
    <x v="0"/>
    <n v="3"/>
    <s v="2-5 Years"/>
    <x v="0"/>
  </r>
  <r>
    <s v="Girifalco, Evelyn"/>
    <n v="10018"/>
    <n v="0"/>
    <n v="0"/>
    <n v="0"/>
    <n v="1"/>
    <n v="5"/>
    <n v="4"/>
    <n v="0"/>
    <n v="57815"/>
    <n v="0"/>
    <n v="19"/>
    <x v="0"/>
    <s v="MA"/>
    <n v="2451"/>
    <d v="1980-05-08T00:00:00"/>
    <x v="1"/>
    <s v="Single"/>
    <s v="US Citizen"/>
    <s v="Yes"/>
    <s v="Two or more races"/>
    <d v="2014-09-29T00:00:00"/>
    <m/>
    <s v="N/A-StillEmployed"/>
    <x v="0"/>
    <x v="0"/>
    <s v="Amy Dunn"/>
    <n v="11"/>
    <s v="Indeed"/>
    <x v="0"/>
    <n v="3.9"/>
    <n v="4"/>
    <n v="0"/>
    <d v="2019-02-07T00:00:00"/>
    <n v="0"/>
    <n v="3"/>
    <x v="0"/>
    <n v="11"/>
    <s v="10+ Years"/>
    <x v="0"/>
  </r>
  <r>
    <s v="Givens, Myriam"/>
    <n v="10255"/>
    <n v="0"/>
    <n v="0"/>
    <n v="0"/>
    <n v="1"/>
    <n v="6"/>
    <n v="3"/>
    <n v="0"/>
    <n v="61555"/>
    <n v="0"/>
    <n v="3"/>
    <x v="11"/>
    <s v="IN"/>
    <n v="46204"/>
    <d v="1989-09-22T00:00:00"/>
    <x v="1"/>
    <s v="Single"/>
    <s v="US Citizen"/>
    <s v="No"/>
    <s v="White"/>
    <d v="2015-02-16T00:00:00"/>
    <m/>
    <s v="N/A-StillEmployed"/>
    <x v="0"/>
    <x v="4"/>
    <s v="Lynn Daneault"/>
    <n v="21"/>
    <s v="Indeed"/>
    <x v="1"/>
    <n v="4.5"/>
    <n v="5"/>
    <n v="0"/>
    <d v="2019-01-25T00:00:00"/>
    <n v="0"/>
    <n v="20"/>
    <x v="0"/>
    <n v="11"/>
    <s v="10+ Years"/>
    <x v="2"/>
  </r>
  <r>
    <s v="Goble, Taisha"/>
    <n v="10246"/>
    <n v="0"/>
    <n v="0"/>
    <n v="0"/>
    <n v="4"/>
    <n v="3"/>
    <n v="3"/>
    <n v="0"/>
    <n v="114800"/>
    <n v="1"/>
    <n v="8"/>
    <x v="6"/>
    <s v="MA"/>
    <n v="2127"/>
    <d v="1971-10-23T00:00:00"/>
    <x v="1"/>
    <s v="Single"/>
    <s v="US Citizen"/>
    <s v="No"/>
    <s v="White"/>
    <d v="2015-02-16T00:00:00"/>
    <d v="2015-03-15T00:00:00"/>
    <s v="no-call, no-show"/>
    <x v="2"/>
    <x v="1"/>
    <s v="Simon Roup"/>
    <n v="4"/>
    <s v="Indeed"/>
    <x v="1"/>
    <n v="4.5999999999999996"/>
    <n v="4"/>
    <n v="4"/>
    <d v="2015-01-20T00:00:00"/>
    <n v="0"/>
    <n v="10"/>
    <x v="1"/>
    <n v="0"/>
    <s v="0-2 Years"/>
    <x v="1"/>
  </r>
  <r>
    <s v="Goeth, Amon"/>
    <n v="10228"/>
    <n v="1"/>
    <n v="1"/>
    <n v="1"/>
    <n v="1"/>
    <n v="3"/>
    <n v="3"/>
    <n v="0"/>
    <n v="74679"/>
    <n v="0"/>
    <n v="14"/>
    <x v="4"/>
    <s v="MA"/>
    <n v="2135"/>
    <d v="1989-11-24T00:00:00"/>
    <x v="0"/>
    <s v="Married"/>
    <s v="US Citizen"/>
    <s v="Yes"/>
    <s v="White"/>
    <d v="2015-03-30T00:00:00"/>
    <m/>
    <s v="N/A-StillEmployed"/>
    <x v="0"/>
    <x v="1"/>
    <s v="Peter Monroe"/>
    <n v="7"/>
    <s v="LinkedIn"/>
    <x v="1"/>
    <n v="4.3"/>
    <n v="5"/>
    <n v="7"/>
    <d v="2019-01-10T00:00:00"/>
    <n v="0"/>
    <n v="20"/>
    <x v="1"/>
    <n v="11"/>
    <s v="10+ Years"/>
    <x v="1"/>
  </r>
  <r>
    <s v="Gold, Shenice  "/>
    <n v="10243"/>
    <n v="0"/>
    <n v="0"/>
    <n v="0"/>
    <n v="1"/>
    <n v="5"/>
    <n v="3"/>
    <n v="0"/>
    <n v="53018"/>
    <n v="0"/>
    <n v="19"/>
    <x v="0"/>
    <s v="MA"/>
    <n v="2451"/>
    <d v="1992-06-18T00:00:00"/>
    <x v="1"/>
    <s v="Single"/>
    <s v="US Citizen"/>
    <s v="Yes"/>
    <s v="White"/>
    <d v="2013-11-11T00:00:00"/>
    <m/>
    <s v="N/A-StillEmployed"/>
    <x v="0"/>
    <x v="0"/>
    <s v="Ketsia Liebig"/>
    <n v="19"/>
    <s v="Indeed"/>
    <x v="1"/>
    <n v="4.3"/>
    <n v="5"/>
    <n v="0"/>
    <d v="2019-02-18T00:00:00"/>
    <n v="0"/>
    <n v="7"/>
    <x v="0"/>
    <n v="12"/>
    <s v="10+ Years"/>
    <x v="0"/>
  </r>
  <r>
    <s v="Gonzalez, Cayo"/>
    <n v="10031"/>
    <n v="0"/>
    <n v="2"/>
    <n v="1"/>
    <n v="1"/>
    <n v="5"/>
    <n v="4"/>
    <n v="1"/>
    <n v="59892"/>
    <n v="0"/>
    <n v="19"/>
    <x v="0"/>
    <s v="MA"/>
    <n v="2108"/>
    <d v="1969-09-29T00:00:00"/>
    <x v="0"/>
    <s v="Divorced"/>
    <s v="US Citizen"/>
    <s v="No"/>
    <s v="Black or African American"/>
    <d v="2011-07-11T00:00:00"/>
    <m/>
    <s v="N/A-StillEmployed"/>
    <x v="0"/>
    <x v="0"/>
    <s v="Brannon Miller"/>
    <n v="12"/>
    <s v="Diversity Job Fair"/>
    <x v="0"/>
    <n v="4.5"/>
    <n v="4"/>
    <n v="0"/>
    <d v="2019-02-18T00:00:00"/>
    <n v="0"/>
    <n v="1"/>
    <x v="0"/>
    <n v="14"/>
    <s v="10+ Years"/>
    <x v="0"/>
  </r>
  <r>
    <s v="Gonzalez, Juan"/>
    <n v="10300"/>
    <n v="1"/>
    <n v="1"/>
    <n v="1"/>
    <n v="5"/>
    <n v="5"/>
    <n v="1"/>
    <n v="1"/>
    <n v="68898"/>
    <n v="1"/>
    <n v="20"/>
    <x v="2"/>
    <s v="MA"/>
    <n v="2128"/>
    <d v="1964-10-12T00:00:00"/>
    <x v="0"/>
    <s v="Married"/>
    <s v="US Citizen"/>
    <s v="No"/>
    <s v="Black or African American"/>
    <d v="2010-04-26T00:00:00"/>
    <d v="2011-05-30T00:00:00"/>
    <s v="career change"/>
    <x v="1"/>
    <x v="0"/>
    <s v="Brannon Miller"/>
    <n v="12"/>
    <s v="Diversity Job Fair"/>
    <x v="3"/>
    <n v="3"/>
    <n v="3"/>
    <n v="0"/>
    <d v="2011-03-06T00:00:00"/>
    <n v="3"/>
    <n v="10"/>
    <x v="0"/>
    <n v="1"/>
    <s v="0-2 Years"/>
    <x v="0"/>
  </r>
  <r>
    <s v="Gonzalez, Maria"/>
    <n v="10101"/>
    <n v="0"/>
    <n v="3"/>
    <n v="0"/>
    <n v="1"/>
    <n v="3"/>
    <n v="3"/>
    <n v="0"/>
    <n v="61242"/>
    <n v="0"/>
    <n v="14"/>
    <x v="4"/>
    <s v="MA"/>
    <n v="2472"/>
    <d v="1981-04-16T00:00:00"/>
    <x v="1"/>
    <s v="Separated"/>
    <s v="US Citizen"/>
    <s v="Yes"/>
    <s v="White"/>
    <d v="2015-01-05T00:00:00"/>
    <m/>
    <s v="N/A-StillEmployed"/>
    <x v="0"/>
    <x v="1"/>
    <s v="Peter Monroe"/>
    <n v="7"/>
    <s v="Employee Referral"/>
    <x v="1"/>
    <n v="4.6100000000000003"/>
    <n v="4"/>
    <n v="5"/>
    <d v="2019-01-28T00:00:00"/>
    <n v="0"/>
    <n v="11"/>
    <x v="1"/>
    <n v="11"/>
    <s v="10+ Years"/>
    <x v="1"/>
  </r>
  <r>
    <s v="Good, Susan"/>
    <n v="10237"/>
    <n v="1"/>
    <n v="1"/>
    <n v="0"/>
    <n v="3"/>
    <n v="5"/>
    <n v="3"/>
    <n v="0"/>
    <n v="66825"/>
    <n v="0"/>
    <n v="20"/>
    <x v="2"/>
    <s v="MA"/>
    <n v="1886"/>
    <d v="1986-05-25T00:00:00"/>
    <x v="1"/>
    <s v="Married"/>
    <s v="US Citizen"/>
    <s v="No"/>
    <s v="White"/>
    <d v="2014-05-12T00:00:00"/>
    <m/>
    <s v="N/A-StillEmployed"/>
    <x v="0"/>
    <x v="0"/>
    <s v="David Stanley"/>
    <n v="14"/>
    <s v="LinkedIn"/>
    <x v="1"/>
    <n v="4.5999999999999996"/>
    <n v="3"/>
    <n v="0"/>
    <d v="2019-02-07T00:00:00"/>
    <n v="0"/>
    <n v="20"/>
    <x v="0"/>
    <n v="11"/>
    <s v="10+ Years"/>
    <x v="0"/>
  </r>
  <r>
    <s v="Gordon, David"/>
    <n v="10051"/>
    <n v="1"/>
    <n v="1"/>
    <n v="1"/>
    <n v="1"/>
    <n v="5"/>
    <n v="3"/>
    <n v="0"/>
    <n v="48285"/>
    <n v="0"/>
    <n v="19"/>
    <x v="0"/>
    <s v="MA"/>
    <n v="2169"/>
    <d v="1979-05-21T00:00:00"/>
    <x v="0"/>
    <s v="Married"/>
    <s v="US Citizen"/>
    <s v="No"/>
    <s v="White"/>
    <d v="2012-07-02T00:00:00"/>
    <m/>
    <s v="N/A-StillEmployed"/>
    <x v="0"/>
    <x v="0"/>
    <s v="David Stanley"/>
    <n v="14"/>
    <s v="LinkedIn"/>
    <x v="1"/>
    <n v="5"/>
    <n v="3"/>
    <n v="0"/>
    <d v="2019-01-14T00:00:00"/>
    <n v="0"/>
    <n v="2"/>
    <x v="0"/>
    <n v="13"/>
    <s v="10+ Years"/>
    <x v="0"/>
  </r>
  <r>
    <s v="Gosciminski, Phylicia  "/>
    <n v="10218"/>
    <n v="0"/>
    <n v="3"/>
    <n v="0"/>
    <n v="3"/>
    <n v="5"/>
    <n v="3"/>
    <n v="0"/>
    <n v="66149"/>
    <n v="0"/>
    <n v="20"/>
    <x v="2"/>
    <s v="MA"/>
    <n v="1824"/>
    <d v="1983-12-08T00:00:00"/>
    <x v="1"/>
    <s v="Separated"/>
    <s v="US Citizen"/>
    <s v="No"/>
    <s v="American Indian or Alaska Native"/>
    <d v="2013-09-30T00:00:00"/>
    <m/>
    <s v="N/A-StillEmployed"/>
    <x v="0"/>
    <x v="0"/>
    <s v="Kissy Sullivan"/>
    <n v="20"/>
    <s v="Google Search"/>
    <x v="1"/>
    <n v="4.4000000000000004"/>
    <n v="5"/>
    <n v="0"/>
    <d v="2019-02-21T00:00:00"/>
    <n v="0"/>
    <n v="1"/>
    <x v="0"/>
    <n v="12"/>
    <s v="10+ Years"/>
    <x v="0"/>
  </r>
  <r>
    <s v="Goyal, Roxana"/>
    <n v="10256"/>
    <n v="1"/>
    <n v="1"/>
    <n v="0"/>
    <n v="3"/>
    <n v="5"/>
    <n v="3"/>
    <n v="0"/>
    <n v="49256"/>
    <n v="0"/>
    <n v="19"/>
    <x v="0"/>
    <s v="MA"/>
    <n v="1864"/>
    <d v="1974-10-09T00:00:00"/>
    <x v="1"/>
    <s v="Married"/>
    <s v="US Citizen"/>
    <s v="No"/>
    <s v="Asian"/>
    <d v="2013-08-19T00:00:00"/>
    <m/>
    <s v="N/A-StillEmployed"/>
    <x v="0"/>
    <x v="0"/>
    <s v="Kissy Sullivan"/>
    <n v="20"/>
    <s v="LinkedIn"/>
    <x v="1"/>
    <n v="4.0999999999999996"/>
    <n v="5"/>
    <n v="0"/>
    <d v="2019-02-15T00:00:00"/>
    <n v="0"/>
    <n v="3"/>
    <x v="0"/>
    <n v="12"/>
    <s v="10+ Years"/>
    <x v="0"/>
  </r>
  <r>
    <s v="Gray, Elijiah  "/>
    <n v="10098"/>
    <n v="0"/>
    <n v="2"/>
    <n v="1"/>
    <n v="1"/>
    <n v="5"/>
    <n v="3"/>
    <n v="0"/>
    <n v="62957"/>
    <n v="0"/>
    <n v="18"/>
    <x v="9"/>
    <s v="MA"/>
    <n v="1752"/>
    <d v="1981-07-11T00:00:00"/>
    <x v="0"/>
    <s v="Divorced"/>
    <s v="US Citizen"/>
    <s v="No"/>
    <s v="White"/>
    <d v="2015-06-02T00:00:00"/>
    <m/>
    <s v="N/A-StillEmployed"/>
    <x v="0"/>
    <x v="0"/>
    <s v="Janet King"/>
    <n v="2"/>
    <s v="Employee Referral"/>
    <x v="1"/>
    <n v="4.63"/>
    <n v="3"/>
    <n v="0"/>
    <d v="2019-01-04T00:00:00"/>
    <n v="0"/>
    <n v="2"/>
    <x v="0"/>
    <n v="10"/>
    <s v="10+ Years"/>
    <x v="2"/>
  </r>
  <r>
    <s v="Gross, Paula"/>
    <n v="10059"/>
    <n v="0"/>
    <n v="2"/>
    <n v="0"/>
    <n v="5"/>
    <n v="5"/>
    <n v="3"/>
    <n v="0"/>
    <n v="63813"/>
    <n v="1"/>
    <n v="19"/>
    <x v="0"/>
    <s v="MA"/>
    <n v="2176"/>
    <d v="1983-05-21T00:00:00"/>
    <x v="1"/>
    <s v="Divorced"/>
    <s v="US Citizen"/>
    <s v="No"/>
    <s v="White"/>
    <d v="2011-02-21T00:00:00"/>
    <d v="2014-01-11T00:00:00"/>
    <s v="more money"/>
    <x v="1"/>
    <x v="0"/>
    <s v="Kelley Spirea"/>
    <n v="18"/>
    <s v="CareerBuilder"/>
    <x v="1"/>
    <n v="5"/>
    <n v="5"/>
    <n v="0"/>
    <d v="2013-06-03T00:00:00"/>
    <n v="0"/>
    <n v="17"/>
    <x v="0"/>
    <n v="2"/>
    <s v="2-5 Years"/>
    <x v="0"/>
  </r>
  <r>
    <s v="Gruber, Hans"/>
    <n v="10234"/>
    <n v="1"/>
    <n v="1"/>
    <n v="1"/>
    <n v="1"/>
    <n v="3"/>
    <n v="3"/>
    <n v="0"/>
    <n v="99020"/>
    <n v="0"/>
    <n v="4"/>
    <x v="17"/>
    <s v="MA"/>
    <n v="2134"/>
    <d v="1989-06-30T00:00:00"/>
    <x v="0"/>
    <s v="Married"/>
    <s v="US Citizen"/>
    <s v="No"/>
    <s v="Black or African American"/>
    <d v="2017-04-20T00:00:00"/>
    <m/>
    <s v="N/A-StillEmployed"/>
    <x v="0"/>
    <x v="1"/>
    <s v="Brian Champaigne"/>
    <n v="13"/>
    <s v="Indeed"/>
    <x v="1"/>
    <n v="4.2"/>
    <n v="5"/>
    <n v="5"/>
    <d v="2019-01-28T00:00:00"/>
    <n v="0"/>
    <n v="8"/>
    <x v="1"/>
    <n v="9"/>
    <s v="5-10 Years"/>
    <x v="1"/>
  </r>
  <r>
    <s v="Guilianno, Mike"/>
    <n v="10109"/>
    <n v="0"/>
    <n v="0"/>
    <n v="1"/>
    <n v="5"/>
    <n v="6"/>
    <n v="3"/>
    <n v="0"/>
    <n v="71707"/>
    <n v="1"/>
    <n v="3"/>
    <x v="11"/>
    <s v="TN"/>
    <n v="37129"/>
    <d v="1969-02-09T00:00:00"/>
    <x v="0"/>
    <s v="Single"/>
    <s v="US Citizen"/>
    <s v="No"/>
    <s v="Two or more races"/>
    <d v="2012-03-07T00:00:00"/>
    <d v="2014-10-31T00:00:00"/>
    <s v="relocation out of area"/>
    <x v="1"/>
    <x v="4"/>
    <s v="John Smith"/>
    <n v="17"/>
    <s v="LinkedIn"/>
    <x v="1"/>
    <n v="4.5"/>
    <n v="5"/>
    <n v="0"/>
    <d v="2013-02-01T00:00:00"/>
    <n v="0"/>
    <n v="20"/>
    <x v="0"/>
    <n v="2"/>
    <s v="2-5 Years"/>
    <x v="2"/>
  </r>
  <r>
    <s v="Handschiegl, Joanne"/>
    <n v="10125"/>
    <n v="1"/>
    <n v="1"/>
    <n v="0"/>
    <n v="1"/>
    <n v="5"/>
    <n v="3"/>
    <n v="0"/>
    <n v="54828"/>
    <n v="0"/>
    <n v="19"/>
    <x v="0"/>
    <s v="MA"/>
    <n v="2127"/>
    <d v="1977-03-23T00:00:00"/>
    <x v="1"/>
    <s v="Married"/>
    <s v="US Citizen"/>
    <s v="No"/>
    <s v="White"/>
    <d v="2011-11-28T00:00:00"/>
    <m/>
    <s v="N/A-StillEmployed"/>
    <x v="0"/>
    <x v="0"/>
    <s v="Michael Albert"/>
    <n v="22"/>
    <s v="Google Search"/>
    <x v="1"/>
    <n v="4.2"/>
    <n v="4"/>
    <n v="0"/>
    <d v="2019-02-22T00:00:00"/>
    <n v="0"/>
    <n v="13"/>
    <x v="0"/>
    <n v="14"/>
    <s v="10+ Years"/>
    <x v="0"/>
  </r>
  <r>
    <s v="Hankard, Earnest"/>
    <n v="10074"/>
    <n v="0"/>
    <n v="0"/>
    <n v="1"/>
    <n v="1"/>
    <n v="5"/>
    <n v="3"/>
    <n v="0"/>
    <n v="64246"/>
    <n v="0"/>
    <n v="20"/>
    <x v="2"/>
    <s v="MA"/>
    <n v="2155"/>
    <d v="1988-08-10T00:00:00"/>
    <x v="0"/>
    <s v="Single"/>
    <s v="US Citizen"/>
    <s v="Yes"/>
    <s v="White"/>
    <d v="2013-11-11T00:00:00"/>
    <m/>
    <s v="N/A-StillEmployed"/>
    <x v="0"/>
    <x v="0"/>
    <s v="Kelley Spirea"/>
    <n v="18"/>
    <s v="LinkedIn"/>
    <x v="1"/>
    <n v="5"/>
    <n v="3"/>
    <n v="0"/>
    <d v="2019-01-08T00:00:00"/>
    <n v="0"/>
    <n v="20"/>
    <x v="0"/>
    <n v="12"/>
    <s v="10+ Years"/>
    <x v="0"/>
  </r>
  <r>
    <s v="Harrington, Christie "/>
    <n v="10097"/>
    <n v="0"/>
    <n v="0"/>
    <n v="0"/>
    <n v="5"/>
    <n v="5"/>
    <n v="3"/>
    <n v="0"/>
    <n v="52177"/>
    <n v="1"/>
    <n v="19"/>
    <x v="0"/>
    <s v="MA"/>
    <n v="2324"/>
    <d v="1952-08-18T00:00:00"/>
    <x v="1"/>
    <s v="Single"/>
    <s v="US Citizen"/>
    <s v="No"/>
    <s v="White"/>
    <d v="2012-01-09T00:00:00"/>
    <d v="2015-12-15T00:00:00"/>
    <s v="retiring"/>
    <x v="1"/>
    <x v="0"/>
    <s v="Webster Butler"/>
    <n v="39"/>
    <s v="CareerBuilder"/>
    <x v="1"/>
    <n v="4.6399999999999997"/>
    <n v="4"/>
    <n v="0"/>
    <d v="2015-05-02T00:00:00"/>
    <n v="0"/>
    <n v="8"/>
    <x v="0"/>
    <n v="3"/>
    <s v="2-5 Years"/>
    <x v="0"/>
  </r>
  <r>
    <s v="Harrison, Kara"/>
    <n v="10007"/>
    <n v="1"/>
    <n v="1"/>
    <n v="0"/>
    <n v="1"/>
    <n v="5"/>
    <n v="4"/>
    <n v="0"/>
    <n v="62065"/>
    <n v="0"/>
    <n v="19"/>
    <x v="0"/>
    <s v="MA"/>
    <n v="1886"/>
    <d v="1974-05-02T00:00:00"/>
    <x v="1"/>
    <s v="Married"/>
    <s v="US Citizen"/>
    <s v="No"/>
    <s v="White"/>
    <d v="2014-05-12T00:00:00"/>
    <m/>
    <s v="N/A-StillEmployed"/>
    <x v="0"/>
    <x v="0"/>
    <s v="Amy Dunn"/>
    <n v="11"/>
    <s v="CareerBuilder"/>
    <x v="0"/>
    <n v="4.76"/>
    <n v="4"/>
    <n v="0"/>
    <d v="2019-02-15T00:00:00"/>
    <n v="0"/>
    <n v="5"/>
    <x v="0"/>
    <n v="11"/>
    <s v="10+ Years"/>
    <x v="0"/>
  </r>
  <r>
    <s v="Heitzman, Anthony"/>
    <n v="10129"/>
    <n v="0"/>
    <n v="0"/>
    <n v="1"/>
    <n v="1"/>
    <n v="5"/>
    <n v="3"/>
    <n v="0"/>
    <n v="46998"/>
    <n v="0"/>
    <n v="19"/>
    <x v="0"/>
    <s v="MA"/>
    <n v="2149"/>
    <d v="1984-01-04T00:00:00"/>
    <x v="0"/>
    <s v="Single"/>
    <s v="US Citizen"/>
    <s v="No"/>
    <s v="White"/>
    <d v="2012-08-13T00:00:00"/>
    <m/>
    <s v="N/A-StillEmployed"/>
    <x v="0"/>
    <x v="0"/>
    <s v="Ketsia Liebig"/>
    <n v="19"/>
    <s v="Google Search"/>
    <x v="1"/>
    <n v="4.17"/>
    <n v="4"/>
    <n v="0"/>
    <d v="2019-02-11T00:00:00"/>
    <n v="0"/>
    <n v="1"/>
    <x v="0"/>
    <n v="13"/>
    <s v="10+ Years"/>
    <x v="0"/>
  </r>
  <r>
    <s v="Hendrickson, Trina"/>
    <n v="10075"/>
    <n v="0"/>
    <n v="0"/>
    <n v="0"/>
    <n v="5"/>
    <n v="5"/>
    <n v="3"/>
    <n v="0"/>
    <n v="68099"/>
    <n v="1"/>
    <n v="20"/>
    <x v="2"/>
    <s v="MA"/>
    <n v="2021"/>
    <d v="1972-08-27T00:00:00"/>
    <x v="1"/>
    <s v="Single"/>
    <s v="US Citizen"/>
    <s v="No"/>
    <s v="White"/>
    <d v="2011-01-10T00:00:00"/>
    <d v="2013-06-18T00:00:00"/>
    <s v="hours"/>
    <x v="1"/>
    <x v="0"/>
    <s v="Kelley Spirea"/>
    <n v="18"/>
    <s v="CareerBuilder"/>
    <x v="1"/>
    <n v="5"/>
    <n v="3"/>
    <n v="0"/>
    <d v="2013-01-30T00:00:00"/>
    <n v="0"/>
    <n v="15"/>
    <x v="0"/>
    <n v="2"/>
    <s v="2-5 Years"/>
    <x v="0"/>
  </r>
  <r>
    <s v="Hitchcock, Alfred"/>
    <n v="10167"/>
    <n v="1"/>
    <n v="1"/>
    <n v="1"/>
    <n v="1"/>
    <n v="6"/>
    <n v="3"/>
    <n v="0"/>
    <n v="70545"/>
    <n v="0"/>
    <n v="3"/>
    <x v="11"/>
    <s v="NH"/>
    <n v="3062"/>
    <d v="1988-09-14T00:00:00"/>
    <x v="0"/>
    <s v="Married"/>
    <s v="US Citizen"/>
    <s v="No"/>
    <s v="American Indian or Alaska Native"/>
    <d v="2014-08-18T00:00:00"/>
    <m/>
    <s v="N/A-StillEmployed"/>
    <x v="0"/>
    <x v="4"/>
    <s v="John Smith"/>
    <n v="17"/>
    <s v="Indeed"/>
    <x v="1"/>
    <n v="3.6"/>
    <n v="5"/>
    <n v="0"/>
    <d v="2019-01-30T00:00:00"/>
    <n v="0"/>
    <n v="9"/>
    <x v="0"/>
    <n v="11"/>
    <s v="10+ Years"/>
    <x v="2"/>
  </r>
  <r>
    <s v="Homberger, Adrienne  J"/>
    <n v="10195"/>
    <n v="1"/>
    <n v="1"/>
    <n v="0"/>
    <n v="5"/>
    <n v="5"/>
    <n v="3"/>
    <n v="0"/>
    <n v="63478"/>
    <n v="1"/>
    <n v="20"/>
    <x v="2"/>
    <s v="MA"/>
    <n v="2445"/>
    <d v="1984-02-16T00:00:00"/>
    <x v="1"/>
    <s v="Married"/>
    <s v="Non-Citizen"/>
    <s v="No"/>
    <s v="White"/>
    <d v="2011-08-15T00:00:00"/>
    <d v="2012-04-07T00:00:00"/>
    <s v="relocation out of area"/>
    <x v="1"/>
    <x v="0"/>
    <s v="Michael Albert"/>
    <n v="30"/>
    <s v="Indeed"/>
    <x v="1"/>
    <n v="3.03"/>
    <n v="5"/>
    <n v="0"/>
    <d v="2012-03-05T00:00:00"/>
    <n v="0"/>
    <n v="16"/>
    <x v="0"/>
    <n v="0"/>
    <s v="0-2 Years"/>
    <x v="0"/>
  </r>
  <r>
    <s v="Horton, Jayne"/>
    <n v="10112"/>
    <n v="0"/>
    <n v="0"/>
    <n v="0"/>
    <n v="1"/>
    <n v="3"/>
    <n v="3"/>
    <n v="0"/>
    <n v="97999"/>
    <n v="0"/>
    <n v="8"/>
    <x v="6"/>
    <s v="MA"/>
    <n v="2493"/>
    <d v="1984-02-21T00:00:00"/>
    <x v="1"/>
    <s v="Single"/>
    <s v="US Citizen"/>
    <s v="No"/>
    <s v="White"/>
    <d v="2015-03-30T00:00:00"/>
    <m/>
    <s v="N/A-StillEmployed"/>
    <x v="0"/>
    <x v="1"/>
    <s v="Simon Roup"/>
    <n v="4"/>
    <s v="Indeed"/>
    <x v="1"/>
    <n v="4.4800000000000004"/>
    <n v="5"/>
    <n v="6"/>
    <d v="2019-01-03T00:00:00"/>
    <n v="0"/>
    <n v="4"/>
    <x v="1"/>
    <n v="11"/>
    <s v="10+ Years"/>
    <x v="1"/>
  </r>
  <r>
    <s v="Houlihan, Debra"/>
    <n v="10272"/>
    <n v="1"/>
    <n v="1"/>
    <n v="0"/>
    <n v="1"/>
    <n v="6"/>
    <n v="3"/>
    <n v="0"/>
    <n v="180000"/>
    <n v="0"/>
    <n v="11"/>
    <x v="21"/>
    <s v="RI"/>
    <n v="2908"/>
    <d v="1966-03-17T00:00:00"/>
    <x v="1"/>
    <s v="Married"/>
    <s v="US Citizen"/>
    <s v="No"/>
    <s v="White"/>
    <d v="2014-05-05T00:00:00"/>
    <m/>
    <s v="N/A-StillEmployed"/>
    <x v="0"/>
    <x v="4"/>
    <s v="Janet King"/>
    <n v="2"/>
    <s v="LinkedIn"/>
    <x v="1"/>
    <n v="4.5"/>
    <n v="4"/>
    <n v="0"/>
    <d v="2019-01-21T00:00:00"/>
    <n v="0"/>
    <n v="19"/>
    <x v="0"/>
    <n v="11"/>
    <s v="10+ Years"/>
    <x v="1"/>
  </r>
  <r>
    <s v="Howard, Estelle"/>
    <n v="10182"/>
    <n v="1"/>
    <n v="1"/>
    <n v="0"/>
    <n v="1"/>
    <n v="1"/>
    <n v="3"/>
    <n v="0"/>
    <n v="49920"/>
    <n v="1"/>
    <n v="2"/>
    <x v="22"/>
    <s v="MA"/>
    <n v="2170"/>
    <d v="1985-09-16T00:00:00"/>
    <x v="1"/>
    <s v="Married"/>
    <s v="US Citizen"/>
    <s v="No"/>
    <s v="Black or African American"/>
    <d v="2015-02-16T00:00:00"/>
    <d v="2015-04-15T00:00:00"/>
    <s v="no-call, no-show"/>
    <x v="2"/>
    <x v="3"/>
    <s v="Brandon R. LeBlanc"/>
    <n v="1"/>
    <s v="Indeed"/>
    <x v="1"/>
    <n v="3.24"/>
    <n v="3"/>
    <n v="4"/>
    <d v="2015-04-15T00:00:00"/>
    <n v="0"/>
    <n v="6"/>
    <x v="0"/>
    <n v="0"/>
    <s v="0-2 Years"/>
    <x v="1"/>
  </r>
  <r>
    <s v="Hudson, Jane"/>
    <n v="10248"/>
    <n v="0"/>
    <n v="0"/>
    <n v="0"/>
    <n v="1"/>
    <n v="5"/>
    <n v="3"/>
    <n v="0"/>
    <n v="55425"/>
    <n v="0"/>
    <n v="19"/>
    <x v="0"/>
    <s v="MA"/>
    <n v="2176"/>
    <d v="1986-06-10T00:00:00"/>
    <x v="1"/>
    <s v="Single"/>
    <s v="US Citizen"/>
    <s v="No"/>
    <s v="White"/>
    <d v="2012-02-20T00:00:00"/>
    <m/>
    <s v="N/A-StillEmployed"/>
    <x v="0"/>
    <x v="0"/>
    <s v="Ketsia Liebig"/>
    <n v="19"/>
    <s v="LinkedIn"/>
    <x v="1"/>
    <n v="4.8"/>
    <n v="4"/>
    <n v="0"/>
    <d v="2019-01-07T00:00:00"/>
    <n v="0"/>
    <n v="4"/>
    <x v="0"/>
    <n v="14"/>
    <s v="10+ Years"/>
    <x v="0"/>
  </r>
  <r>
    <s v="Hunts, Julissa"/>
    <n v="10201"/>
    <n v="0"/>
    <n v="0"/>
    <n v="0"/>
    <n v="2"/>
    <n v="5"/>
    <n v="3"/>
    <n v="0"/>
    <n v="69340"/>
    <n v="0"/>
    <n v="20"/>
    <x v="2"/>
    <s v="MA"/>
    <n v="2021"/>
    <d v="1984-03-11T00:00:00"/>
    <x v="1"/>
    <s v="Single"/>
    <s v="US Citizen"/>
    <s v="No"/>
    <s v="White"/>
    <d v="2016-06-06T00:00:00"/>
    <m/>
    <s v="N/A-StillEmployed"/>
    <x v="0"/>
    <x v="0"/>
    <s v="Elijiah Gray"/>
    <n v="16"/>
    <s v="LinkedIn"/>
    <x v="1"/>
    <n v="3"/>
    <n v="5"/>
    <n v="0"/>
    <d v="2019-01-18T00:00:00"/>
    <n v="0"/>
    <n v="4"/>
    <x v="0"/>
    <n v="9"/>
    <s v="5-10 Years"/>
    <x v="0"/>
  </r>
  <r>
    <s v="Hutter, Rosalie"/>
    <n v="10214"/>
    <n v="0"/>
    <n v="3"/>
    <n v="0"/>
    <n v="2"/>
    <n v="5"/>
    <n v="3"/>
    <n v="0"/>
    <n v="64995"/>
    <n v="0"/>
    <n v="20"/>
    <x v="2"/>
    <s v="MA"/>
    <n v="2351"/>
    <d v="1992-05-07T00:00:00"/>
    <x v="1"/>
    <s v="Separated"/>
    <s v="US Citizen"/>
    <s v="No"/>
    <s v="White"/>
    <d v="2015-06-05T00:00:00"/>
    <m/>
    <s v="N/A-StillEmployed"/>
    <x v="0"/>
    <x v="0"/>
    <s v="Webster Butler"/>
    <m/>
    <s v="Indeed"/>
    <x v="1"/>
    <n v="4.5"/>
    <n v="3"/>
    <n v="0"/>
    <d v="2019-02-14T00:00:00"/>
    <n v="0"/>
    <n v="6"/>
    <x v="0"/>
    <n v="10"/>
    <s v="10+ Years"/>
    <x v="0"/>
  </r>
  <r>
    <s v="Huynh, Ming"/>
    <n v="10160"/>
    <n v="0"/>
    <n v="2"/>
    <n v="0"/>
    <n v="5"/>
    <n v="5"/>
    <n v="3"/>
    <n v="0"/>
    <n v="68182"/>
    <n v="1"/>
    <n v="20"/>
    <x v="2"/>
    <s v="MA"/>
    <n v="1742"/>
    <d v="1976-09-22T00:00:00"/>
    <x v="1"/>
    <s v="Divorced"/>
    <s v="US Citizen"/>
    <s v="No"/>
    <s v="White"/>
    <d v="2011-02-21T00:00:00"/>
    <d v="2013-04-01T00:00:00"/>
    <s v="unhappy"/>
    <x v="1"/>
    <x v="0"/>
    <s v="Amy Dunn"/>
    <n v="11"/>
    <s v="Google Search"/>
    <x v="1"/>
    <n v="3.72"/>
    <n v="3"/>
    <n v="0"/>
    <d v="2013-02-01T00:00:00"/>
    <n v="0"/>
    <n v="18"/>
    <x v="0"/>
    <n v="2"/>
    <s v="2-5 Years"/>
    <x v="0"/>
  </r>
  <r>
    <s v="Immediato, Walter"/>
    <n v="10289"/>
    <n v="1"/>
    <n v="1"/>
    <n v="1"/>
    <n v="5"/>
    <n v="5"/>
    <n v="2"/>
    <n v="0"/>
    <n v="83082"/>
    <n v="1"/>
    <n v="18"/>
    <x v="9"/>
    <s v="MA"/>
    <n v="2128"/>
    <d v="1976-11-15T00:00:00"/>
    <x v="0"/>
    <s v="Married"/>
    <s v="US Citizen"/>
    <s v="No"/>
    <s v="Asian"/>
    <d v="2011-02-21T00:00:00"/>
    <d v="2012-09-24T00:00:00"/>
    <s v="unhappy"/>
    <x v="1"/>
    <x v="0"/>
    <s v="Janet King"/>
    <n v="2"/>
    <s v="Indeed"/>
    <x v="2"/>
    <n v="2.34"/>
    <n v="2"/>
    <n v="0"/>
    <d v="2012-04-12T00:00:00"/>
    <n v="3"/>
    <n v="4"/>
    <x v="0"/>
    <n v="1"/>
    <s v="0-2 Years"/>
    <x v="2"/>
  </r>
  <r>
    <s v="Ivey, Rose "/>
    <n v="10139"/>
    <n v="0"/>
    <n v="0"/>
    <n v="0"/>
    <n v="1"/>
    <n v="5"/>
    <n v="3"/>
    <n v="0"/>
    <n v="51908"/>
    <n v="0"/>
    <n v="19"/>
    <x v="0"/>
    <s v="MA"/>
    <n v="1775"/>
    <d v="1991-01-28T00:00:00"/>
    <x v="1"/>
    <s v="Single"/>
    <s v="US Citizen"/>
    <s v="No"/>
    <s v="White"/>
    <d v="2013-08-19T00:00:00"/>
    <m/>
    <s v="N/A-StillEmployed"/>
    <x v="0"/>
    <x v="0"/>
    <s v="Brannon Miller"/>
    <n v="12"/>
    <s v="Indeed"/>
    <x v="1"/>
    <n v="3.99"/>
    <n v="3"/>
    <n v="0"/>
    <d v="2019-01-14T00:00:00"/>
    <n v="0"/>
    <n v="14"/>
    <x v="0"/>
    <n v="12"/>
    <s v="10+ Years"/>
    <x v="0"/>
  </r>
  <r>
    <s v="Jackson, Maryellen"/>
    <n v="10227"/>
    <n v="0"/>
    <n v="0"/>
    <n v="0"/>
    <n v="1"/>
    <n v="5"/>
    <n v="3"/>
    <n v="0"/>
    <n v="61242"/>
    <n v="0"/>
    <n v="19"/>
    <x v="0"/>
    <s v="MA"/>
    <n v="2081"/>
    <d v="1972-09-11T00:00:00"/>
    <x v="1"/>
    <s v="Single"/>
    <s v="US Citizen"/>
    <s v="No"/>
    <s v="Black or African American"/>
    <d v="2012-11-05T00:00:00"/>
    <m/>
    <s v="N/A-StillEmployed"/>
    <x v="0"/>
    <x v="0"/>
    <s v="David Stanley"/>
    <n v="14"/>
    <s v="LinkedIn"/>
    <x v="1"/>
    <n v="4.0999999999999996"/>
    <n v="3"/>
    <n v="0"/>
    <d v="2019-01-17T00:00:00"/>
    <n v="0"/>
    <n v="7"/>
    <x v="0"/>
    <n v="13"/>
    <s v="10+ Years"/>
    <x v="0"/>
  </r>
  <r>
    <s v="Jacobi, Hannah  "/>
    <n v="10236"/>
    <n v="0"/>
    <n v="2"/>
    <n v="0"/>
    <n v="1"/>
    <n v="5"/>
    <n v="3"/>
    <n v="0"/>
    <n v="45069"/>
    <n v="0"/>
    <n v="19"/>
    <x v="0"/>
    <s v="MA"/>
    <n v="1778"/>
    <d v="1966-03-22T00:00:00"/>
    <x v="1"/>
    <s v="Divorced"/>
    <s v="US Citizen"/>
    <s v="No"/>
    <s v="White"/>
    <d v="2013-09-30T00:00:00"/>
    <m/>
    <s v="N/A-StillEmployed"/>
    <x v="0"/>
    <x v="0"/>
    <s v="Kissy Sullivan"/>
    <n v="20"/>
    <s v="Employee Referral"/>
    <x v="1"/>
    <n v="4.3"/>
    <n v="5"/>
    <n v="0"/>
    <d v="2019-02-22T00:00:00"/>
    <n v="0"/>
    <n v="7"/>
    <x v="0"/>
    <n v="12"/>
    <s v="10+ Years"/>
    <x v="0"/>
  </r>
  <r>
    <s v="Jeannite, Tayana"/>
    <n v="10009"/>
    <n v="0"/>
    <n v="2"/>
    <n v="0"/>
    <n v="1"/>
    <n v="5"/>
    <n v="4"/>
    <n v="0"/>
    <n v="60724"/>
    <n v="0"/>
    <n v="20"/>
    <x v="2"/>
    <s v="MA"/>
    <n v="1821"/>
    <d v="1986-11-06T00:00:00"/>
    <x v="1"/>
    <s v="Divorced"/>
    <s v="US Citizen"/>
    <s v="No"/>
    <s v="American Indian or Alaska Native"/>
    <d v="2011-07-05T00:00:00"/>
    <m/>
    <s v="N/A-StillEmployed"/>
    <x v="0"/>
    <x v="0"/>
    <s v="Ketsia Liebig"/>
    <n v="19"/>
    <s v="LinkedIn"/>
    <x v="0"/>
    <n v="4.5999999999999996"/>
    <n v="4"/>
    <n v="0"/>
    <d v="2019-02-25T00:00:00"/>
    <n v="0"/>
    <n v="11"/>
    <x v="0"/>
    <n v="14"/>
    <s v="10+ Years"/>
    <x v="0"/>
  </r>
  <r>
    <s v="Jhaveri, Sneha  "/>
    <n v="10060"/>
    <n v="0"/>
    <n v="3"/>
    <n v="0"/>
    <n v="1"/>
    <n v="5"/>
    <n v="3"/>
    <n v="0"/>
    <n v="60436"/>
    <n v="0"/>
    <n v="19"/>
    <x v="0"/>
    <s v="MA"/>
    <n v="2109"/>
    <d v="1964-04-13T00:00:00"/>
    <x v="1"/>
    <s v="Separated"/>
    <s v="US Citizen"/>
    <s v="No"/>
    <s v="White"/>
    <d v="2014-01-06T00:00:00"/>
    <m/>
    <s v="N/A-StillEmployed"/>
    <x v="0"/>
    <x v="0"/>
    <s v="Kelley Spirea"/>
    <n v="18"/>
    <s v="LinkedIn"/>
    <x v="1"/>
    <n v="5"/>
    <n v="5"/>
    <n v="0"/>
    <d v="2019-01-21T00:00:00"/>
    <n v="0"/>
    <n v="9"/>
    <x v="0"/>
    <n v="12"/>
    <s v="10+ Years"/>
    <x v="0"/>
  </r>
  <r>
    <s v="Johnson, George"/>
    <n v="10034"/>
    <n v="1"/>
    <n v="1"/>
    <n v="1"/>
    <n v="5"/>
    <n v="5"/>
    <n v="4"/>
    <n v="0"/>
    <n v="46837"/>
    <n v="1"/>
    <n v="19"/>
    <x v="0"/>
    <s v="MA"/>
    <n v="2445"/>
    <d v="1959-08-19T00:00:00"/>
    <x v="0"/>
    <s v="Married"/>
    <s v="US Citizen"/>
    <s v="No"/>
    <s v="White"/>
    <d v="2011-11-07T00:00:00"/>
    <d v="2018-04-29T00:00:00"/>
    <s v="more money"/>
    <x v="1"/>
    <x v="0"/>
    <s v="Michael Albert"/>
    <n v="22"/>
    <s v="CareerBuilder"/>
    <x v="0"/>
    <n v="4.7"/>
    <n v="4"/>
    <n v="0"/>
    <d v="2018-02-14T00:00:00"/>
    <n v="0"/>
    <n v="9"/>
    <x v="0"/>
    <n v="6"/>
    <s v="5-10 Years"/>
    <x v="0"/>
  </r>
  <r>
    <s v="Johnson, Noelle "/>
    <n v="10156"/>
    <n v="1"/>
    <n v="1"/>
    <n v="0"/>
    <n v="3"/>
    <n v="3"/>
    <n v="3"/>
    <n v="0"/>
    <n v="105700"/>
    <n v="0"/>
    <n v="8"/>
    <x v="6"/>
    <s v="MA"/>
    <n v="2301"/>
    <d v="1986-11-07T00:00:00"/>
    <x v="1"/>
    <s v="Married"/>
    <s v="US Citizen"/>
    <s v="No"/>
    <s v="Asian"/>
    <d v="2015-01-05T00:00:00"/>
    <m/>
    <s v="N/A-StillEmployed"/>
    <x v="0"/>
    <x v="1"/>
    <s v="Simon Roup"/>
    <n v="4"/>
    <s v="Indeed"/>
    <x v="1"/>
    <n v="3.75"/>
    <n v="3"/>
    <n v="5"/>
    <d v="2019-02-11T00:00:00"/>
    <n v="0"/>
    <n v="2"/>
    <x v="1"/>
    <n v="11"/>
    <s v="10+ Years"/>
    <x v="1"/>
  </r>
  <r>
    <s v="Johnston, Yen"/>
    <n v="10036"/>
    <n v="0"/>
    <n v="0"/>
    <n v="0"/>
    <n v="1"/>
    <n v="5"/>
    <n v="4"/>
    <n v="0"/>
    <n v="63322"/>
    <n v="0"/>
    <n v="20"/>
    <x v="2"/>
    <s v="MA"/>
    <n v="2128"/>
    <d v="1969-09-08T00:00:00"/>
    <x v="1"/>
    <s v="Single"/>
    <s v="US Citizen"/>
    <s v="No"/>
    <s v="White"/>
    <d v="2014-07-07T00:00:00"/>
    <m/>
    <s v="N/A-StillEmployed"/>
    <x v="0"/>
    <x v="0"/>
    <s v="Brannon Miller"/>
    <n v="12"/>
    <s v="LinkedIn"/>
    <x v="0"/>
    <n v="4.3"/>
    <n v="3"/>
    <n v="0"/>
    <d v="2019-01-11T00:00:00"/>
    <n v="0"/>
    <n v="1"/>
    <x v="0"/>
    <n v="11"/>
    <s v="10+ Years"/>
    <x v="0"/>
  </r>
  <r>
    <s v="Jung, Judy  "/>
    <n v="10138"/>
    <n v="1"/>
    <n v="1"/>
    <n v="0"/>
    <n v="5"/>
    <n v="5"/>
    <n v="3"/>
    <n v="0"/>
    <n v="61154"/>
    <n v="1"/>
    <n v="19"/>
    <x v="0"/>
    <s v="MA"/>
    <n v="2446"/>
    <d v="1986-04-17T00:00:00"/>
    <x v="1"/>
    <s v="Married"/>
    <s v="US Citizen"/>
    <s v="No"/>
    <s v="Black or African American"/>
    <d v="2011-01-10T00:00:00"/>
    <d v="2016-04-01T00:00:00"/>
    <s v="unhappy"/>
    <x v="1"/>
    <x v="0"/>
    <s v="Elijiah Gray"/>
    <n v="16"/>
    <s v="CareerBuilder"/>
    <x v="1"/>
    <n v="4"/>
    <n v="4"/>
    <n v="0"/>
    <d v="2016-02-03T00:00:00"/>
    <n v="0"/>
    <n v="4"/>
    <x v="0"/>
    <n v="5"/>
    <s v="5-10 Years"/>
    <x v="0"/>
  </r>
  <r>
    <s v="Kampew, Donysha"/>
    <n v="10244"/>
    <n v="0"/>
    <n v="0"/>
    <n v="0"/>
    <n v="5"/>
    <n v="6"/>
    <n v="3"/>
    <n v="0"/>
    <n v="68999"/>
    <n v="1"/>
    <n v="21"/>
    <x v="16"/>
    <s v="PA"/>
    <n v="19444"/>
    <d v="1989-11-11T00:00:00"/>
    <x v="1"/>
    <s v="Single"/>
    <s v="US Citizen"/>
    <s v="No"/>
    <s v="White"/>
    <d v="2011-11-07T00:00:00"/>
    <d v="2014-04-24T00:00:00"/>
    <s v="maternity leave - did not return"/>
    <x v="1"/>
    <x v="4"/>
    <s v="Debra Houlihan"/>
    <n v="15"/>
    <s v="Google Search"/>
    <x v="1"/>
    <n v="4.5"/>
    <n v="5"/>
    <n v="0"/>
    <d v="2013-03-30T00:00:00"/>
    <n v="0"/>
    <n v="2"/>
    <x v="0"/>
    <n v="2"/>
    <s v="2-5 Years"/>
    <x v="2"/>
  </r>
  <r>
    <s v="Keatts, Kramer "/>
    <n v="10192"/>
    <n v="0"/>
    <n v="0"/>
    <n v="1"/>
    <n v="1"/>
    <n v="5"/>
    <n v="3"/>
    <n v="0"/>
    <n v="50482"/>
    <n v="0"/>
    <n v="19"/>
    <x v="0"/>
    <s v="MA"/>
    <n v="1887"/>
    <d v="1976-01-19T00:00:00"/>
    <x v="0"/>
    <s v="Single"/>
    <s v="US Citizen"/>
    <s v="No"/>
    <s v="White"/>
    <d v="2013-09-30T00:00:00"/>
    <m/>
    <s v="N/A-StillEmployed"/>
    <x v="0"/>
    <x v="0"/>
    <s v="Michael Albert"/>
    <n v="22"/>
    <s v="Indeed"/>
    <x v="1"/>
    <n v="3.07"/>
    <n v="4"/>
    <n v="0"/>
    <d v="2019-01-23T00:00:00"/>
    <n v="0"/>
    <n v="10"/>
    <x v="0"/>
    <n v="12"/>
    <s v="10+ Years"/>
    <x v="0"/>
  </r>
  <r>
    <s v="Khemmich, Bartholemew"/>
    <n v="10231"/>
    <n v="0"/>
    <n v="0"/>
    <n v="1"/>
    <n v="1"/>
    <n v="6"/>
    <n v="3"/>
    <n v="0"/>
    <n v="65310"/>
    <n v="0"/>
    <n v="3"/>
    <x v="11"/>
    <s v="CO"/>
    <n v="80820"/>
    <d v="1979-11-27T00:00:00"/>
    <x v="0"/>
    <s v="Single"/>
    <s v="US Citizen"/>
    <s v="No"/>
    <s v="White"/>
    <d v="2013-08-19T00:00:00"/>
    <m/>
    <s v="N/A-StillEmployed"/>
    <x v="0"/>
    <x v="4"/>
    <s v="Lynn Daneault"/>
    <n v="21"/>
    <s v="Indeed"/>
    <x v="1"/>
    <n v="4.3"/>
    <n v="5"/>
    <n v="0"/>
    <d v="2019-01-22T00:00:00"/>
    <n v="0"/>
    <n v="13"/>
    <x v="0"/>
    <n v="12"/>
    <s v="10+ Years"/>
    <x v="2"/>
  </r>
  <r>
    <s v="King, Janet"/>
    <n v="10089"/>
    <n v="1"/>
    <n v="1"/>
    <n v="0"/>
    <n v="1"/>
    <n v="2"/>
    <n v="3"/>
    <n v="0"/>
    <n v="250000"/>
    <n v="0"/>
    <n v="16"/>
    <x v="23"/>
    <s v="MA"/>
    <n v="1902"/>
    <d v="1954-09-21T00:00:00"/>
    <x v="1"/>
    <s v="Married"/>
    <s v="US Citizen"/>
    <s v="Yes"/>
    <s v="White"/>
    <d v="2012-07-02T00:00:00"/>
    <m/>
    <s v="N/A-StillEmployed"/>
    <x v="0"/>
    <x v="5"/>
    <s v="Board of Directors"/>
    <n v="9"/>
    <s v="Indeed"/>
    <x v="1"/>
    <n v="4.83"/>
    <n v="3"/>
    <n v="0"/>
    <d v="2019-01-17T00:00:00"/>
    <n v="0"/>
    <n v="10"/>
    <x v="0"/>
    <n v="13"/>
    <s v="10+ Years"/>
    <x v="1"/>
  </r>
  <r>
    <s v="Kinsella, Kathleen  "/>
    <n v="10166"/>
    <n v="1"/>
    <n v="1"/>
    <n v="0"/>
    <n v="5"/>
    <n v="5"/>
    <n v="3"/>
    <n v="0"/>
    <n v="54005"/>
    <n v="1"/>
    <n v="19"/>
    <x v="0"/>
    <s v="MA"/>
    <n v="2170"/>
    <d v="1973-12-08T00:00:00"/>
    <x v="1"/>
    <s v="Married"/>
    <s v="US Citizen"/>
    <s v="No"/>
    <s v="White"/>
    <d v="2011-09-26T00:00:00"/>
    <d v="2015-06-04T00:00:00"/>
    <s v="more money"/>
    <x v="1"/>
    <x v="0"/>
    <s v="Webster Butler"/>
    <n v="39"/>
    <s v="Google Search"/>
    <x v="1"/>
    <n v="3.6"/>
    <n v="5"/>
    <n v="0"/>
    <d v="2015-03-01T00:00:00"/>
    <n v="0"/>
    <n v="16"/>
    <x v="0"/>
    <n v="3"/>
    <s v="2-5 Years"/>
    <x v="0"/>
  </r>
  <r>
    <s v="Kirill, Alexandra  "/>
    <n v="10170"/>
    <n v="1"/>
    <n v="1"/>
    <n v="0"/>
    <n v="5"/>
    <n v="5"/>
    <n v="3"/>
    <n v="0"/>
    <n v="45433"/>
    <n v="1"/>
    <n v="19"/>
    <x v="0"/>
    <s v="MA"/>
    <n v="2127"/>
    <d v="1970-10-08T00:00:00"/>
    <x v="1"/>
    <s v="Married"/>
    <s v="US Citizen"/>
    <s v="No"/>
    <s v="White"/>
    <d v="2011-09-26T00:00:00"/>
    <d v="2014-01-09T00:00:00"/>
    <s v="more money"/>
    <x v="1"/>
    <x v="0"/>
    <s v="Amy Dunn"/>
    <n v="11"/>
    <s v="Google Search"/>
    <x v="1"/>
    <n v="3.49"/>
    <n v="4"/>
    <n v="0"/>
    <d v="2013-01-30T00:00:00"/>
    <n v="0"/>
    <n v="6"/>
    <x v="0"/>
    <n v="2"/>
    <s v="2-5 Years"/>
    <x v="0"/>
  </r>
  <r>
    <s v="Knapp, Bradley  J"/>
    <n v="10208"/>
    <n v="0"/>
    <n v="0"/>
    <n v="1"/>
    <n v="1"/>
    <n v="5"/>
    <n v="3"/>
    <n v="0"/>
    <n v="46654"/>
    <n v="0"/>
    <n v="19"/>
    <x v="0"/>
    <s v="MA"/>
    <n v="1721"/>
    <d v="1977-11-10T00:00:00"/>
    <x v="0"/>
    <s v="Single"/>
    <s v="US Citizen"/>
    <s v="No"/>
    <s v="Black or African American"/>
    <d v="2014-02-17T00:00:00"/>
    <m/>
    <s v="N/A-StillEmployed"/>
    <x v="0"/>
    <x v="0"/>
    <s v="Ketsia Liebig"/>
    <n v="19"/>
    <s v="LinkedIn"/>
    <x v="1"/>
    <n v="3.1"/>
    <n v="3"/>
    <n v="0"/>
    <d v="2019-02-06T00:00:00"/>
    <n v="0"/>
    <n v="3"/>
    <x v="0"/>
    <n v="12"/>
    <s v="10+ Years"/>
    <x v="0"/>
  </r>
  <r>
    <s v="Kretschmer, John"/>
    <n v="10176"/>
    <n v="1"/>
    <n v="1"/>
    <n v="1"/>
    <n v="1"/>
    <n v="5"/>
    <n v="3"/>
    <n v="0"/>
    <n v="63973"/>
    <n v="0"/>
    <n v="19"/>
    <x v="0"/>
    <s v="MA"/>
    <n v="1801"/>
    <d v="1980-02-02T00:00:00"/>
    <x v="0"/>
    <s v="Married"/>
    <s v="US Citizen"/>
    <s v="No"/>
    <s v="Asian"/>
    <d v="2011-01-10T00:00:00"/>
    <m/>
    <s v="N/A-StillEmployed"/>
    <x v="0"/>
    <x v="0"/>
    <s v="Brannon Miller"/>
    <n v="12"/>
    <s v="Indeed"/>
    <x v="1"/>
    <n v="3.38"/>
    <n v="3"/>
    <n v="0"/>
    <d v="2019-01-21T00:00:00"/>
    <n v="0"/>
    <n v="17"/>
    <x v="0"/>
    <n v="15"/>
    <s v="10+ Years"/>
    <x v="0"/>
  </r>
  <r>
    <s v="Kreuger, Freddy"/>
    <n v="10165"/>
    <n v="0"/>
    <n v="0"/>
    <n v="1"/>
    <n v="1"/>
    <n v="6"/>
    <n v="3"/>
    <n v="1"/>
    <n v="71339"/>
    <n v="0"/>
    <n v="3"/>
    <x v="11"/>
    <s v="NY"/>
    <n v="10171"/>
    <d v="1969-02-24T00:00:00"/>
    <x v="0"/>
    <s v="Single"/>
    <s v="US Citizen"/>
    <s v="Yes"/>
    <s v="Black or African American"/>
    <d v="2011-03-07T00:00:00"/>
    <m/>
    <s v="N/A-StillEmployed"/>
    <x v="0"/>
    <x v="4"/>
    <s v="John Smith"/>
    <n v="17"/>
    <s v="Diversity Job Fair"/>
    <x v="1"/>
    <n v="3.65"/>
    <n v="5"/>
    <n v="0"/>
    <d v="2019-01-17T00:00:00"/>
    <n v="0"/>
    <n v="20"/>
    <x v="0"/>
    <n v="15"/>
    <s v="10+ Years"/>
    <x v="2"/>
  </r>
  <r>
    <s v="Lajiri,  Jyoti"/>
    <n v="10113"/>
    <n v="1"/>
    <n v="1"/>
    <n v="1"/>
    <n v="3"/>
    <n v="3"/>
    <n v="3"/>
    <n v="0"/>
    <n v="93206"/>
    <n v="0"/>
    <n v="28"/>
    <x v="15"/>
    <s v="MA"/>
    <n v="2169"/>
    <d v="1986-04-23T00:00:00"/>
    <x v="0"/>
    <s v="Married"/>
    <s v="US Citizen"/>
    <s v="No"/>
    <s v="White"/>
    <d v="2014-11-10T00:00:00"/>
    <m/>
    <s v="N/A-StillEmployed"/>
    <x v="0"/>
    <x v="1"/>
    <s v="Peter Monroe"/>
    <n v="7"/>
    <s v="Employee Referral"/>
    <x v="1"/>
    <n v="4.46"/>
    <n v="5"/>
    <n v="6"/>
    <d v="2019-01-07T00:00:00"/>
    <n v="0"/>
    <n v="7"/>
    <x v="1"/>
    <n v="11"/>
    <s v="10+ Years"/>
    <x v="1"/>
  </r>
  <r>
    <s v="Landa, Hans"/>
    <n v="10092"/>
    <n v="1"/>
    <n v="1"/>
    <n v="1"/>
    <n v="4"/>
    <n v="5"/>
    <n v="3"/>
    <n v="0"/>
    <n v="82758"/>
    <n v="1"/>
    <n v="18"/>
    <x v="9"/>
    <s v="MA"/>
    <n v="1890"/>
    <d v="1972-07-01T00:00:00"/>
    <x v="0"/>
    <s v="Married"/>
    <s v="US Citizen"/>
    <s v="No"/>
    <s v="White"/>
    <d v="2011-01-10T00:00:00"/>
    <d v="2015-12-12T00:00:00"/>
    <s v="attendance"/>
    <x v="2"/>
    <x v="0"/>
    <s v="Janet King"/>
    <n v="2"/>
    <s v="Employee Referral"/>
    <x v="1"/>
    <n v="4.78"/>
    <n v="4"/>
    <n v="0"/>
    <d v="2015-02-15T00:00:00"/>
    <n v="0"/>
    <n v="9"/>
    <x v="0"/>
    <n v="4"/>
    <s v="2-5 Years"/>
    <x v="2"/>
  </r>
  <r>
    <s v="Langford, Lindsey"/>
    <n v="10106"/>
    <n v="0"/>
    <n v="2"/>
    <n v="0"/>
    <n v="5"/>
    <n v="5"/>
    <n v="3"/>
    <n v="0"/>
    <n v="66074"/>
    <n v="1"/>
    <n v="20"/>
    <x v="2"/>
    <s v="MA"/>
    <n v="2090"/>
    <d v="1979-07-25T00:00:00"/>
    <x v="1"/>
    <s v="Divorced"/>
    <s v="US Citizen"/>
    <s v="No"/>
    <s v="Asian"/>
    <d v="2013-01-07T00:00:00"/>
    <d v="2014-03-31T00:00:00"/>
    <s v="Another position"/>
    <x v="1"/>
    <x v="0"/>
    <s v="David Stanley"/>
    <n v="14"/>
    <s v="Indeed"/>
    <x v="1"/>
    <n v="4.5199999999999996"/>
    <n v="3"/>
    <n v="0"/>
    <d v="2014-02-20T00:00:00"/>
    <n v="0"/>
    <n v="20"/>
    <x v="0"/>
    <n v="1"/>
    <s v="0-2 Years"/>
    <x v="0"/>
  </r>
  <r>
    <s v="Langton, Enrico"/>
    <n v="10052"/>
    <n v="1"/>
    <n v="1"/>
    <n v="1"/>
    <n v="1"/>
    <n v="5"/>
    <n v="3"/>
    <n v="0"/>
    <n v="46120"/>
    <n v="0"/>
    <n v="19"/>
    <x v="0"/>
    <s v="MA"/>
    <n v="2048"/>
    <d v="1986-12-09T00:00:00"/>
    <x v="0"/>
    <s v="Married"/>
    <s v="US Citizen"/>
    <s v="No"/>
    <s v="White"/>
    <d v="2012-07-09T00:00:00"/>
    <m/>
    <s v="N/A-StillEmployed"/>
    <x v="0"/>
    <x v="0"/>
    <s v="David Stanley"/>
    <n v="14"/>
    <s v="LinkedIn"/>
    <x v="1"/>
    <n v="5"/>
    <n v="5"/>
    <n v="0"/>
    <d v="2019-02-04T00:00:00"/>
    <n v="0"/>
    <n v="13"/>
    <x v="0"/>
    <n v="13"/>
    <s v="10+ Years"/>
    <x v="0"/>
  </r>
  <r>
    <s v="LaRotonda, William  "/>
    <n v="10038"/>
    <n v="0"/>
    <n v="2"/>
    <n v="1"/>
    <n v="1"/>
    <n v="1"/>
    <n v="3"/>
    <n v="0"/>
    <n v="64520"/>
    <n v="0"/>
    <n v="1"/>
    <x v="10"/>
    <s v="MA"/>
    <n v="1460"/>
    <d v="1984-04-26T00:00:00"/>
    <x v="0"/>
    <s v="Divorced"/>
    <s v="US Citizen"/>
    <s v="No"/>
    <s v="Black or African American"/>
    <d v="2014-01-06T00:00:00"/>
    <m/>
    <s v="N/A-StillEmployed"/>
    <x v="0"/>
    <x v="3"/>
    <s v="Brandon R. LeBlanc"/>
    <n v="1"/>
    <s v="Website"/>
    <x v="1"/>
    <n v="5"/>
    <n v="4"/>
    <n v="4"/>
    <d v="2019-01-17T00:00:00"/>
    <n v="0"/>
    <n v="3"/>
    <x v="0"/>
    <n v="12"/>
    <s v="10+ Years"/>
    <x v="1"/>
  </r>
  <r>
    <s v="Latif, Mohammed"/>
    <n v="10249"/>
    <n v="1"/>
    <n v="1"/>
    <n v="1"/>
    <n v="5"/>
    <n v="5"/>
    <n v="3"/>
    <n v="0"/>
    <n v="61962"/>
    <n v="1"/>
    <n v="20"/>
    <x v="2"/>
    <s v="MA"/>
    <n v="2126"/>
    <d v="1984-05-09T00:00:00"/>
    <x v="0"/>
    <s v="Married"/>
    <s v="US Citizen"/>
    <s v="No"/>
    <s v="White"/>
    <d v="2012-04-02T00:00:00"/>
    <d v="2013-04-15T00:00:00"/>
    <s v="more money"/>
    <x v="1"/>
    <x v="0"/>
    <s v="Kissy Sullivan"/>
    <n v="20"/>
    <s v="Google Search"/>
    <x v="1"/>
    <n v="4.9000000000000004"/>
    <n v="3"/>
    <n v="0"/>
    <d v="2013-02-20T00:00:00"/>
    <n v="0"/>
    <n v="20"/>
    <x v="0"/>
    <n v="1"/>
    <s v="0-2 Years"/>
    <x v="0"/>
  </r>
  <r>
    <s v="Le, Binh"/>
    <n v="10232"/>
    <n v="0"/>
    <n v="0"/>
    <n v="0"/>
    <n v="1"/>
    <n v="3"/>
    <n v="3"/>
    <n v="0"/>
    <n v="81584"/>
    <n v="0"/>
    <n v="22"/>
    <x v="24"/>
    <s v="MA"/>
    <n v="1886"/>
    <d v="1987-06-14T00:00:00"/>
    <x v="1"/>
    <s v="Single"/>
    <s v="US Citizen"/>
    <s v="No"/>
    <s v="Asian"/>
    <d v="2016-10-02T00:00:00"/>
    <m/>
    <s v="N/A-StillEmployed"/>
    <x v="0"/>
    <x v="1"/>
    <s v="Brian Champaigne"/>
    <n v="13"/>
    <s v="Indeed"/>
    <x v="1"/>
    <n v="4.0999999999999996"/>
    <n v="5"/>
    <n v="7"/>
    <d v="2019-01-08T00:00:00"/>
    <n v="0"/>
    <n v="2"/>
    <x v="1"/>
    <n v="9"/>
    <s v="5-10 Years"/>
    <x v="1"/>
  </r>
  <r>
    <s v="Leach, Dallas"/>
    <n v="10087"/>
    <n v="0"/>
    <n v="0"/>
    <n v="0"/>
    <n v="5"/>
    <n v="5"/>
    <n v="3"/>
    <n v="0"/>
    <n v="63676"/>
    <n v="1"/>
    <n v="19"/>
    <x v="0"/>
    <s v="MA"/>
    <n v="1810"/>
    <d v="1979-01-17T00:00:00"/>
    <x v="1"/>
    <s v="Single"/>
    <s v="US Citizen"/>
    <s v="No"/>
    <s v="Asian"/>
    <d v="2011-09-26T00:00:00"/>
    <d v="2018-08-19T00:00:00"/>
    <s v="return to school"/>
    <x v="1"/>
    <x v="0"/>
    <s v="Kissy Sullivan"/>
    <n v="20"/>
    <s v="CareerBuilder"/>
    <x v="1"/>
    <n v="4.88"/>
    <n v="3"/>
    <n v="0"/>
    <d v="2017-07-02T00:00:00"/>
    <n v="0"/>
    <n v="17"/>
    <x v="0"/>
    <n v="6"/>
    <s v="5-10 Years"/>
    <x v="0"/>
  </r>
  <r>
    <s v="LeBlanc, Brandon  R"/>
    <n v="10134"/>
    <n v="1"/>
    <n v="1"/>
    <n v="1"/>
    <n v="1"/>
    <n v="1"/>
    <n v="3"/>
    <n v="0"/>
    <n v="93046"/>
    <n v="0"/>
    <n v="23"/>
    <x v="25"/>
    <s v="MA"/>
    <n v="1460"/>
    <d v="1984-06-10T00:00:00"/>
    <x v="0"/>
    <s v="Married"/>
    <s v="US Citizen"/>
    <s v="No"/>
    <s v="White"/>
    <d v="2016-01-05T00:00:00"/>
    <m/>
    <s v="N/A-StillEmployed"/>
    <x v="0"/>
    <x v="3"/>
    <s v="Janet King"/>
    <n v="2"/>
    <s v="CareerBuilder"/>
    <x v="1"/>
    <n v="4.0999999999999996"/>
    <n v="4"/>
    <n v="0"/>
    <d v="2019-01-28T00:00:00"/>
    <n v="0"/>
    <n v="20"/>
    <x v="0"/>
    <n v="10"/>
    <s v="10+ Years"/>
    <x v="2"/>
  </r>
  <r>
    <s v="Lecter, Hannibal"/>
    <n v="10251"/>
    <n v="1"/>
    <n v="1"/>
    <n v="1"/>
    <n v="1"/>
    <n v="5"/>
    <n v="3"/>
    <n v="0"/>
    <n v="64738"/>
    <n v="0"/>
    <n v="19"/>
    <x v="0"/>
    <s v="MA"/>
    <n v="1776"/>
    <d v="1982-09-02T00:00:00"/>
    <x v="0"/>
    <s v="Married"/>
    <s v="US Citizen"/>
    <s v="No"/>
    <s v="Asian"/>
    <d v="2012-05-14T00:00:00"/>
    <m/>
    <s v="N/A-StillEmployed"/>
    <x v="0"/>
    <x v="0"/>
    <s v="Elijiah Gray"/>
    <n v="16"/>
    <s v="Google Search"/>
    <x v="1"/>
    <n v="4.0999999999999996"/>
    <n v="3"/>
    <n v="0"/>
    <d v="2019-02-22T00:00:00"/>
    <n v="0"/>
    <n v="10"/>
    <x v="0"/>
    <n v="13"/>
    <s v="10+ Years"/>
    <x v="0"/>
  </r>
  <r>
    <s v="Leruth, Giovanni"/>
    <n v="10103"/>
    <n v="0"/>
    <n v="3"/>
    <n v="1"/>
    <n v="1"/>
    <n v="6"/>
    <n v="3"/>
    <n v="0"/>
    <n v="70468"/>
    <n v="0"/>
    <n v="3"/>
    <x v="11"/>
    <s v="UT"/>
    <n v="84111"/>
    <d v="1988-12-27T00:00:00"/>
    <x v="0"/>
    <s v="Separated"/>
    <s v="US Citizen"/>
    <s v="No"/>
    <s v="Black or African American"/>
    <d v="2012-04-30T00:00:00"/>
    <m/>
    <s v="N/A-StillEmployed"/>
    <x v="0"/>
    <x v="4"/>
    <s v="John Smith"/>
    <n v="17"/>
    <s v="Website"/>
    <x v="1"/>
    <n v="4.53"/>
    <n v="3"/>
    <n v="0"/>
    <d v="2019-01-29T00:00:00"/>
    <n v="0"/>
    <n v="16"/>
    <x v="0"/>
    <n v="13"/>
    <s v="10+ Years"/>
    <x v="2"/>
  </r>
  <r>
    <s v="Liebig, Ketsia"/>
    <n v="10017"/>
    <n v="1"/>
    <n v="1"/>
    <n v="0"/>
    <n v="1"/>
    <n v="5"/>
    <n v="4"/>
    <n v="0"/>
    <n v="77915"/>
    <n v="0"/>
    <n v="18"/>
    <x v="9"/>
    <s v="MA"/>
    <n v="2110"/>
    <d v="1981-10-26T00:00:00"/>
    <x v="1"/>
    <s v="Married"/>
    <s v="US Citizen"/>
    <s v="No"/>
    <s v="White"/>
    <d v="2013-09-30T00:00:00"/>
    <m/>
    <s v="N/A-StillEmployed"/>
    <x v="0"/>
    <x v="0"/>
    <s v="Janet King"/>
    <n v="2"/>
    <s v="Website"/>
    <x v="0"/>
    <n v="4.0999999999999996"/>
    <n v="3"/>
    <n v="0"/>
    <d v="2019-01-21T00:00:00"/>
    <n v="0"/>
    <n v="11"/>
    <x v="0"/>
    <n v="12"/>
    <s v="10+ Years"/>
    <x v="2"/>
  </r>
  <r>
    <s v="Linares, Marilyn "/>
    <n v="10186"/>
    <n v="1"/>
    <n v="1"/>
    <n v="0"/>
    <n v="5"/>
    <n v="5"/>
    <n v="3"/>
    <n v="0"/>
    <n v="52624"/>
    <n v="1"/>
    <n v="19"/>
    <x v="0"/>
    <s v="MA"/>
    <n v="1886"/>
    <d v="1981-03-26T00:00:00"/>
    <x v="1"/>
    <s v="Married"/>
    <s v="US Citizen"/>
    <s v="No"/>
    <s v="White"/>
    <d v="2011-07-05T00:00:00"/>
    <d v="2018-09-26T00:00:00"/>
    <s v="unhappy"/>
    <x v="1"/>
    <x v="0"/>
    <s v="Michael Albert"/>
    <n v="22"/>
    <s v="Indeed"/>
    <x v="1"/>
    <n v="3.18"/>
    <n v="4"/>
    <n v="0"/>
    <d v="2018-03-02T00:00:00"/>
    <n v="0"/>
    <n v="16"/>
    <x v="0"/>
    <n v="7"/>
    <s v="5-10 Years"/>
    <x v="0"/>
  </r>
  <r>
    <s v="Linden, Mathew"/>
    <n v="10137"/>
    <n v="1"/>
    <n v="1"/>
    <n v="1"/>
    <n v="3"/>
    <n v="5"/>
    <n v="3"/>
    <n v="0"/>
    <n v="63450"/>
    <n v="0"/>
    <n v="20"/>
    <x v="2"/>
    <s v="MA"/>
    <n v="1770"/>
    <d v="1979-03-19T00:00:00"/>
    <x v="0"/>
    <s v="Married"/>
    <s v="US Citizen"/>
    <s v="No"/>
    <s v="White"/>
    <d v="2013-07-08T00:00:00"/>
    <m/>
    <s v="N/A-StillEmployed"/>
    <x v="0"/>
    <x v="0"/>
    <s v="Kelley Spirea"/>
    <n v="18"/>
    <s v="LinkedIn"/>
    <x v="1"/>
    <n v="4"/>
    <n v="3"/>
    <n v="0"/>
    <d v="2019-02-18T00:00:00"/>
    <n v="0"/>
    <n v="7"/>
    <x v="0"/>
    <n v="12"/>
    <s v="10+ Years"/>
    <x v="0"/>
  </r>
  <r>
    <s v="Lindsay, Leonara "/>
    <n v="10008"/>
    <n v="0"/>
    <n v="0"/>
    <n v="0"/>
    <n v="1"/>
    <n v="3"/>
    <n v="4"/>
    <n v="1"/>
    <n v="51777"/>
    <n v="0"/>
    <n v="14"/>
    <x v="4"/>
    <s v="CT"/>
    <n v="6070"/>
    <d v="1988-10-05T00:00:00"/>
    <x v="1"/>
    <s v="Single"/>
    <s v="US Citizen"/>
    <s v="Yes"/>
    <s v="Black or African American"/>
    <d v="2011-01-21T00:00:00"/>
    <m/>
    <s v="N/A-StillEmployed"/>
    <x v="0"/>
    <x v="1"/>
    <s v="Eric Dougall"/>
    <n v="6"/>
    <s v="Diversity Job Fair"/>
    <x v="0"/>
    <n v="4.6399999999999997"/>
    <n v="4"/>
    <n v="5"/>
    <d v="2019-01-25T00:00:00"/>
    <n v="0"/>
    <n v="14"/>
    <x v="1"/>
    <n v="15"/>
    <s v="10+ Years"/>
    <x v="1"/>
  </r>
  <r>
    <s v="Lundy, Susan"/>
    <n v="10096"/>
    <n v="0"/>
    <n v="4"/>
    <n v="0"/>
    <n v="5"/>
    <n v="5"/>
    <n v="3"/>
    <n v="0"/>
    <n v="67237"/>
    <n v="1"/>
    <n v="20"/>
    <x v="2"/>
    <s v="MA"/>
    <n v="2122"/>
    <d v="1976-12-26T00:00:00"/>
    <x v="1"/>
    <s v="Widowed"/>
    <s v="US Citizen"/>
    <s v="No"/>
    <s v="White"/>
    <d v="2013-07-08T00:00:00"/>
    <d v="2016-09-15T00:00:00"/>
    <s v="more money"/>
    <x v="1"/>
    <x v="0"/>
    <s v="Michael Albert"/>
    <n v="22"/>
    <s v="LinkedIn"/>
    <x v="1"/>
    <n v="4.6500000000000004"/>
    <n v="4"/>
    <n v="0"/>
    <d v="2016-06-10T00:00:00"/>
    <n v="0"/>
    <n v="15"/>
    <x v="0"/>
    <n v="3"/>
    <s v="2-5 Years"/>
    <x v="0"/>
  </r>
  <r>
    <s v="Lunquist, Lisa"/>
    <n v="10035"/>
    <n v="0"/>
    <n v="0"/>
    <n v="0"/>
    <n v="1"/>
    <n v="5"/>
    <n v="4"/>
    <n v="0"/>
    <n v="73330"/>
    <n v="0"/>
    <n v="20"/>
    <x v="2"/>
    <s v="MA"/>
    <n v="2324"/>
    <d v="1982-03-28T00:00:00"/>
    <x v="1"/>
    <s v="Single"/>
    <s v="US Citizen"/>
    <s v="No"/>
    <s v="Black or African American"/>
    <d v="2013-08-19T00:00:00"/>
    <m/>
    <s v="N/A-StillEmployed"/>
    <x v="0"/>
    <x v="0"/>
    <s v="Elijiah Gray"/>
    <n v="16"/>
    <s v="Indeed"/>
    <x v="0"/>
    <n v="4.2"/>
    <n v="4"/>
    <n v="0"/>
    <d v="2019-02-12T00:00:00"/>
    <n v="0"/>
    <n v="19"/>
    <x v="0"/>
    <n v="12"/>
    <s v="10+ Years"/>
    <x v="0"/>
  </r>
  <r>
    <s v="Lydon, Allison"/>
    <n v="10057"/>
    <n v="1"/>
    <n v="1"/>
    <n v="0"/>
    <n v="3"/>
    <n v="5"/>
    <n v="3"/>
    <n v="0"/>
    <n v="52057"/>
    <n v="0"/>
    <n v="19"/>
    <x v="0"/>
    <s v="MA"/>
    <n v="2122"/>
    <d v="1975-10-22T00:00:00"/>
    <x v="1"/>
    <s v="Married"/>
    <s v="US Citizen"/>
    <s v="No"/>
    <s v="Black or African American"/>
    <d v="2015-02-16T00:00:00"/>
    <m/>
    <s v="N/A-StillEmployed"/>
    <x v="0"/>
    <x v="0"/>
    <s v="Elijiah Gray"/>
    <n v="16"/>
    <s v="Website"/>
    <x v="1"/>
    <n v="5"/>
    <n v="3"/>
    <n v="0"/>
    <d v="2019-01-23T00:00:00"/>
    <n v="0"/>
    <n v="6"/>
    <x v="0"/>
    <n v="11"/>
    <s v="10+ Years"/>
    <x v="0"/>
  </r>
  <r>
    <s v="Lynch, Lindsay"/>
    <n v="10004"/>
    <n v="0"/>
    <n v="0"/>
    <n v="0"/>
    <n v="5"/>
    <n v="5"/>
    <n v="4"/>
    <n v="1"/>
    <n v="47434"/>
    <n v="1"/>
    <n v="19"/>
    <x v="0"/>
    <s v="MA"/>
    <n v="1844"/>
    <d v="1973-02-14T00:00:00"/>
    <x v="1"/>
    <s v="Single"/>
    <s v="US Citizen"/>
    <s v="Yes"/>
    <s v="Black or African American"/>
    <d v="2011-11-07T00:00:00"/>
    <d v="2015-11-14T00:00:00"/>
    <s v="Another position"/>
    <x v="1"/>
    <x v="0"/>
    <s v="Webster Butler"/>
    <n v="39"/>
    <s v="Diversity Job Fair"/>
    <x v="0"/>
    <n v="5"/>
    <n v="4"/>
    <n v="0"/>
    <d v="2015-02-02T00:00:00"/>
    <n v="0"/>
    <n v="17"/>
    <x v="0"/>
    <n v="4"/>
    <s v="2-5 Years"/>
    <x v="0"/>
  </r>
  <r>
    <s v="MacLennan, Samuel"/>
    <n v="10191"/>
    <n v="0"/>
    <n v="4"/>
    <n v="1"/>
    <n v="5"/>
    <n v="5"/>
    <n v="3"/>
    <n v="0"/>
    <n v="52788"/>
    <n v="1"/>
    <n v="19"/>
    <x v="0"/>
    <s v="MA"/>
    <n v="1938"/>
    <d v="1972-11-09T00:00:00"/>
    <x v="0"/>
    <s v="Widowed"/>
    <s v="US Citizen"/>
    <s v="No"/>
    <s v="White"/>
    <d v="2012-09-24T00:00:00"/>
    <d v="2017-09-26T00:00:00"/>
    <s v="hours"/>
    <x v="1"/>
    <x v="0"/>
    <s v="Amy Dunn"/>
    <n v="11"/>
    <s v="Indeed"/>
    <x v="1"/>
    <n v="3.08"/>
    <n v="4"/>
    <n v="0"/>
    <d v="2017-04-01T00:00:00"/>
    <n v="0"/>
    <n v="18"/>
    <x v="0"/>
    <n v="5"/>
    <s v="5-10 Years"/>
    <x v="0"/>
  </r>
  <r>
    <s v="Mahoney, Lauren  "/>
    <n v="10219"/>
    <n v="0"/>
    <n v="0"/>
    <n v="0"/>
    <n v="1"/>
    <n v="5"/>
    <n v="3"/>
    <n v="0"/>
    <n v="45395"/>
    <n v="0"/>
    <n v="19"/>
    <x v="0"/>
    <s v="MA"/>
    <n v="2189"/>
    <d v="1986-07-07T00:00:00"/>
    <x v="1"/>
    <s v="Single"/>
    <s v="US Citizen"/>
    <s v="No"/>
    <s v="White"/>
    <d v="2014-01-06T00:00:00"/>
    <m/>
    <s v="N/A-StillEmployed"/>
    <x v="0"/>
    <x v="0"/>
    <s v="Ketsia Liebig"/>
    <n v="19"/>
    <s v="LinkedIn"/>
    <x v="1"/>
    <n v="4.5999999999999996"/>
    <n v="4"/>
    <n v="0"/>
    <d v="2019-02-26T00:00:00"/>
    <n v="0"/>
    <n v="14"/>
    <x v="0"/>
    <n v="12"/>
    <s v="10+ Years"/>
    <x v="0"/>
  </r>
  <r>
    <s v="Manchester, Robyn"/>
    <n v="10077"/>
    <n v="1"/>
    <n v="1"/>
    <n v="0"/>
    <n v="2"/>
    <n v="5"/>
    <n v="3"/>
    <n v="0"/>
    <n v="62385"/>
    <n v="0"/>
    <n v="20"/>
    <x v="2"/>
    <s v="MA"/>
    <n v="2324"/>
    <d v="1976-08-25T00:00:00"/>
    <x v="1"/>
    <s v="Married"/>
    <s v="US Citizen"/>
    <s v="No"/>
    <s v="White"/>
    <d v="2016-05-11T00:00:00"/>
    <m/>
    <s v="N/A-StillEmployed"/>
    <x v="0"/>
    <x v="0"/>
    <s v="Webster Butler"/>
    <m/>
    <s v="LinkedIn"/>
    <x v="1"/>
    <n v="5"/>
    <n v="3"/>
    <n v="0"/>
    <d v="2019-01-21T00:00:00"/>
    <n v="0"/>
    <n v="4"/>
    <x v="0"/>
    <n v="9"/>
    <s v="5-10 Years"/>
    <x v="0"/>
  </r>
  <r>
    <s v="Mancuso, Karen"/>
    <n v="10073"/>
    <n v="1"/>
    <n v="1"/>
    <n v="0"/>
    <n v="5"/>
    <n v="5"/>
    <n v="3"/>
    <n v="0"/>
    <n v="68407"/>
    <n v="1"/>
    <n v="20"/>
    <x v="2"/>
    <s v="MA"/>
    <n v="2176"/>
    <d v="1986-12-10T00:00:00"/>
    <x v="1"/>
    <s v="Married"/>
    <s v="US Citizen"/>
    <s v="No"/>
    <s v="Two or more races"/>
    <d v="2011-07-05T00:00:00"/>
    <d v="2012-08-19T00:00:00"/>
    <s v="Another position"/>
    <x v="1"/>
    <x v="0"/>
    <s v="Amy Dunn"/>
    <n v="11"/>
    <s v="LinkedIn"/>
    <x v="1"/>
    <n v="5"/>
    <n v="4"/>
    <n v="0"/>
    <d v="2012-07-02T00:00:00"/>
    <n v="0"/>
    <n v="16"/>
    <x v="0"/>
    <n v="1"/>
    <s v="0-2 Years"/>
    <x v="0"/>
  </r>
  <r>
    <s v="Mangal, Debbie"/>
    <n v="10279"/>
    <n v="1"/>
    <n v="1"/>
    <n v="0"/>
    <n v="1"/>
    <n v="5"/>
    <n v="3"/>
    <n v="0"/>
    <n v="61349"/>
    <n v="0"/>
    <n v="19"/>
    <x v="0"/>
    <s v="MA"/>
    <n v="2451"/>
    <d v="1974-11-07T00:00:00"/>
    <x v="1"/>
    <s v="Married"/>
    <s v="US Citizen"/>
    <s v="No"/>
    <s v="White"/>
    <d v="2013-11-11T00:00:00"/>
    <m/>
    <s v="N/A-StillEmployed"/>
    <x v="0"/>
    <x v="0"/>
    <s v="Brannon Miller"/>
    <n v="12"/>
    <s v="LinkedIn"/>
    <x v="1"/>
    <n v="4.0999999999999996"/>
    <n v="3"/>
    <n v="0"/>
    <d v="2019-01-22T00:00:00"/>
    <n v="0"/>
    <n v="11"/>
    <x v="0"/>
    <n v="12"/>
    <s v="10+ Years"/>
    <x v="0"/>
  </r>
  <r>
    <s v="Martin, Sandra"/>
    <n v="10110"/>
    <n v="0"/>
    <n v="0"/>
    <n v="0"/>
    <n v="1"/>
    <n v="4"/>
    <n v="3"/>
    <n v="0"/>
    <n v="105688"/>
    <n v="0"/>
    <n v="24"/>
    <x v="3"/>
    <s v="MA"/>
    <n v="2135"/>
    <d v="1987-11-07T00:00:00"/>
    <x v="1"/>
    <s v="Single"/>
    <s v="US Citizen"/>
    <s v="No"/>
    <s v="Asian"/>
    <d v="2013-11-11T00:00:00"/>
    <m/>
    <s v="N/A-StillEmployed"/>
    <x v="0"/>
    <x v="2"/>
    <s v="Alex Sweetwater"/>
    <n v="10"/>
    <s v="Google Search"/>
    <x v="1"/>
    <n v="4.5"/>
    <n v="5"/>
    <n v="4"/>
    <d v="2019-01-14T00:00:00"/>
    <n v="0"/>
    <n v="14"/>
    <x v="1"/>
    <n v="12"/>
    <s v="10+ Years"/>
    <x v="1"/>
  </r>
  <r>
    <s v="Maurice, Shana"/>
    <n v="10053"/>
    <n v="1"/>
    <n v="1"/>
    <n v="0"/>
    <n v="1"/>
    <n v="5"/>
    <n v="3"/>
    <n v="0"/>
    <n v="54132"/>
    <n v="0"/>
    <n v="19"/>
    <x v="0"/>
    <s v="MA"/>
    <n v="2330"/>
    <d v="1977-11-22T00:00:00"/>
    <x v="1"/>
    <s v="Married"/>
    <s v="US Citizen"/>
    <s v="No"/>
    <s v="White"/>
    <d v="2011-05-31T00:00:00"/>
    <m/>
    <s v="N/A-StillEmployed"/>
    <x v="0"/>
    <x v="0"/>
    <s v="David Stanley"/>
    <n v="14"/>
    <s v="Indeed"/>
    <x v="1"/>
    <n v="5"/>
    <n v="4"/>
    <n v="0"/>
    <d v="2019-01-10T00:00:00"/>
    <n v="0"/>
    <n v="8"/>
    <x v="0"/>
    <n v="14"/>
    <s v="10+ Years"/>
    <x v="0"/>
  </r>
  <r>
    <s v="Carthy, B'rigit"/>
    <n v="10076"/>
    <n v="0"/>
    <n v="0"/>
    <n v="0"/>
    <n v="1"/>
    <n v="5"/>
    <n v="3"/>
    <n v="0"/>
    <n v="55315"/>
    <n v="0"/>
    <n v="20"/>
    <x v="2"/>
    <s v="MA"/>
    <n v="2149"/>
    <d v="1987-05-21T00:00:00"/>
    <x v="1"/>
    <s v="Single"/>
    <s v="US Citizen"/>
    <s v="No"/>
    <s v="Black or African American"/>
    <d v="2015-03-30T00:00:00"/>
    <m/>
    <s v="N/A-StillEmployed"/>
    <x v="0"/>
    <x v="0"/>
    <s v="Ketsia Liebig"/>
    <n v="19"/>
    <s v="LinkedIn"/>
    <x v="1"/>
    <n v="5"/>
    <n v="5"/>
    <n v="0"/>
    <d v="2019-02-07T00:00:00"/>
    <n v="0"/>
    <n v="16"/>
    <x v="0"/>
    <n v="11"/>
    <s v="10+ Years"/>
    <x v="0"/>
  </r>
  <r>
    <s v="Mckenna, Sandy"/>
    <n v="10145"/>
    <n v="1"/>
    <n v="1"/>
    <n v="0"/>
    <n v="1"/>
    <n v="5"/>
    <n v="3"/>
    <n v="0"/>
    <n v="62810"/>
    <n v="0"/>
    <n v="19"/>
    <x v="0"/>
    <s v="MA"/>
    <n v="2184"/>
    <d v="1987-01-07T00:00:00"/>
    <x v="1"/>
    <s v="Married"/>
    <s v="US Citizen"/>
    <s v="No"/>
    <s v="Black or African American"/>
    <d v="2013-01-07T00:00:00"/>
    <m/>
    <s v="N/A-StillEmployed"/>
    <x v="0"/>
    <x v="0"/>
    <s v="Kissy Sullivan"/>
    <n v="20"/>
    <s v="CareerBuilder"/>
    <x v="1"/>
    <n v="3.93"/>
    <n v="3"/>
    <n v="0"/>
    <d v="2019-01-30T00:00:00"/>
    <n v="0"/>
    <n v="20"/>
    <x v="0"/>
    <n v="13"/>
    <s v="10+ Years"/>
    <x v="0"/>
  </r>
  <r>
    <s v="McKinzie, Jac"/>
    <n v="10202"/>
    <n v="1"/>
    <n v="1"/>
    <n v="1"/>
    <n v="2"/>
    <n v="6"/>
    <n v="3"/>
    <n v="0"/>
    <n v="63291"/>
    <n v="0"/>
    <n v="3"/>
    <x v="11"/>
    <s v="TX"/>
    <n v="78789"/>
    <d v="1984-07-01T00:00:00"/>
    <x v="0"/>
    <s v="Married"/>
    <s v="US Citizen"/>
    <s v="No"/>
    <s v="Two or more races"/>
    <d v="2016-07-06T00:00:00"/>
    <m/>
    <s v="N/A-StillEmployed"/>
    <x v="0"/>
    <x v="4"/>
    <s v="Lynn Daneault"/>
    <n v="21"/>
    <s v="Website"/>
    <x v="1"/>
    <n v="3.4"/>
    <n v="4"/>
    <n v="0"/>
    <d v="2019-01-29T00:00:00"/>
    <n v="0"/>
    <n v="7"/>
    <x v="0"/>
    <n v="9"/>
    <s v="5-10 Years"/>
    <x v="2"/>
  </r>
  <r>
    <s v="Meads, Elizabeth"/>
    <n v="10128"/>
    <n v="0"/>
    <n v="0"/>
    <n v="0"/>
    <n v="5"/>
    <n v="5"/>
    <n v="3"/>
    <n v="1"/>
    <n v="62659"/>
    <n v="1"/>
    <n v="19"/>
    <x v="0"/>
    <s v="MA"/>
    <n v="1760"/>
    <d v="1968-05-30T00:00:00"/>
    <x v="1"/>
    <s v="Single"/>
    <s v="US Citizen"/>
    <s v="No"/>
    <s v="Black or African American"/>
    <d v="2012-04-02T00:00:00"/>
    <d v="2016-11-11T00:00:00"/>
    <s v="Another position"/>
    <x v="1"/>
    <x v="0"/>
    <s v="Kelley Spirea"/>
    <n v="18"/>
    <s v="Diversity Job Fair"/>
    <x v="1"/>
    <n v="4.18"/>
    <n v="4"/>
    <n v="0"/>
    <d v="2016-02-05T00:00:00"/>
    <n v="0"/>
    <n v="17"/>
    <x v="0"/>
    <n v="4"/>
    <s v="2-5 Years"/>
    <x v="0"/>
  </r>
  <r>
    <s v="Medeiros, Jennifer"/>
    <n v="10068"/>
    <n v="0"/>
    <n v="0"/>
    <n v="0"/>
    <n v="1"/>
    <n v="5"/>
    <n v="3"/>
    <n v="0"/>
    <n v="55688"/>
    <n v="0"/>
    <n v="19"/>
    <x v="0"/>
    <s v="MA"/>
    <n v="2346"/>
    <d v="1976-09-22T00:00:00"/>
    <x v="1"/>
    <s v="Single"/>
    <s v="US Citizen"/>
    <s v="No"/>
    <s v="White"/>
    <d v="2015-03-30T00:00:00"/>
    <m/>
    <s v="N/A-StillEmployed"/>
    <x v="0"/>
    <x v="0"/>
    <s v="Michael Albert"/>
    <n v="22"/>
    <s v="CareerBuilder"/>
    <x v="1"/>
    <n v="5"/>
    <n v="4"/>
    <n v="0"/>
    <d v="2019-01-21T00:00:00"/>
    <n v="0"/>
    <n v="10"/>
    <x v="0"/>
    <n v="11"/>
    <s v="10+ Years"/>
    <x v="0"/>
  </r>
  <r>
    <s v="Miller, Brannon"/>
    <n v="10116"/>
    <n v="0"/>
    <n v="0"/>
    <n v="1"/>
    <n v="1"/>
    <n v="5"/>
    <n v="3"/>
    <n v="0"/>
    <n v="83667"/>
    <n v="0"/>
    <n v="18"/>
    <x v="9"/>
    <s v="MA"/>
    <n v="2045"/>
    <d v="1981-08-10T00:00:00"/>
    <x v="0"/>
    <s v="Single"/>
    <s v="US Citizen"/>
    <s v="Yes"/>
    <s v="Hispanic"/>
    <d v="2012-08-16T00:00:00"/>
    <m/>
    <s v="N/A-StillEmployed"/>
    <x v="0"/>
    <x v="0"/>
    <s v="Janet King"/>
    <n v="2"/>
    <s v="Indeed"/>
    <x v="1"/>
    <n v="4.37"/>
    <n v="3"/>
    <n v="0"/>
    <d v="2019-01-14T00:00:00"/>
    <n v="0"/>
    <n v="2"/>
    <x v="0"/>
    <n v="13"/>
    <s v="10+ Years"/>
    <x v="2"/>
  </r>
  <r>
    <s v="Miller, Ned"/>
    <n v="10298"/>
    <n v="0"/>
    <n v="0"/>
    <n v="1"/>
    <n v="5"/>
    <n v="5"/>
    <n v="1"/>
    <n v="0"/>
    <n v="55800"/>
    <n v="1"/>
    <n v="20"/>
    <x v="2"/>
    <s v="MA"/>
    <n v="2472"/>
    <d v="1985-06-29T00:00:00"/>
    <x v="0"/>
    <s v="Single"/>
    <s v="US Citizen"/>
    <s v="No"/>
    <s v="White"/>
    <d v="2011-08-15T00:00:00"/>
    <d v="2014-09-04T00:00:00"/>
    <s v="unhappy"/>
    <x v="1"/>
    <x v="0"/>
    <s v="Brannon Miller"/>
    <n v="12"/>
    <s v="LinkedIn"/>
    <x v="3"/>
    <n v="3"/>
    <n v="2"/>
    <n v="0"/>
    <d v="2013-01-14T00:00:00"/>
    <n v="6"/>
    <n v="6"/>
    <x v="0"/>
    <n v="3"/>
    <s v="2-5 Years"/>
    <x v="0"/>
  </r>
  <r>
    <s v="Monkfish, Erasumus"/>
    <n v="10213"/>
    <n v="1"/>
    <n v="1"/>
    <n v="1"/>
    <n v="1"/>
    <n v="5"/>
    <n v="3"/>
    <n v="0"/>
    <n v="58207"/>
    <n v="0"/>
    <n v="20"/>
    <x v="2"/>
    <s v="MA"/>
    <n v="1450"/>
    <d v="1992-08-17T00:00:00"/>
    <x v="0"/>
    <s v="Married"/>
    <s v="US Citizen"/>
    <s v="No"/>
    <s v="White"/>
    <d v="2011-11-07T00:00:00"/>
    <m/>
    <s v="N/A-StillEmployed"/>
    <x v="0"/>
    <x v="0"/>
    <s v="David Stanley"/>
    <n v="14"/>
    <s v="LinkedIn"/>
    <x v="1"/>
    <n v="3.7"/>
    <n v="3"/>
    <n v="0"/>
    <d v="2019-01-08T00:00:00"/>
    <n v="0"/>
    <n v="14"/>
    <x v="0"/>
    <n v="14"/>
    <s v="10+ Years"/>
    <x v="0"/>
  </r>
  <r>
    <s v="Monroe, Peter"/>
    <n v="10288"/>
    <n v="1"/>
    <n v="1"/>
    <n v="1"/>
    <n v="1"/>
    <n v="3"/>
    <n v="2"/>
    <n v="1"/>
    <n v="157000"/>
    <n v="0"/>
    <n v="13"/>
    <x v="26"/>
    <s v="MA"/>
    <n v="2134"/>
    <d v="1986-10-05T00:00:00"/>
    <x v="0"/>
    <s v="Married"/>
    <s v="Eligible NonCitizen"/>
    <s v="Yes"/>
    <s v="Black or African American"/>
    <d v="2012-02-15T00:00:00"/>
    <m/>
    <s v="N/A-StillEmployed"/>
    <x v="0"/>
    <x v="1"/>
    <s v="Jennifer Zamora"/>
    <n v="5"/>
    <s v="Diversity Job Fair"/>
    <x v="2"/>
    <n v="2.39"/>
    <n v="3"/>
    <n v="6"/>
    <d v="2019-02-22T00:00:00"/>
    <n v="4"/>
    <n v="13"/>
    <x v="1"/>
    <n v="14"/>
    <s v="10+ Years"/>
    <x v="2"/>
  </r>
  <r>
    <s v="Monterro, Luisa"/>
    <n v="10025"/>
    <n v="0"/>
    <n v="0"/>
    <n v="0"/>
    <n v="1"/>
    <n v="5"/>
    <n v="4"/>
    <n v="0"/>
    <n v="72460"/>
    <n v="0"/>
    <n v="20"/>
    <x v="2"/>
    <s v="MA"/>
    <n v="2126"/>
    <d v="1970-04-24T00:00:00"/>
    <x v="1"/>
    <s v="Single"/>
    <s v="US Citizen"/>
    <s v="No"/>
    <s v="Black or African American"/>
    <d v="2013-05-13T00:00:00"/>
    <m/>
    <s v="N/A-StillEmployed"/>
    <x v="0"/>
    <x v="0"/>
    <s v="Kissy Sullivan"/>
    <n v="20"/>
    <s v="Indeed"/>
    <x v="0"/>
    <n v="4.7"/>
    <n v="3"/>
    <n v="0"/>
    <d v="2019-01-14T00:00:00"/>
    <n v="0"/>
    <n v="1"/>
    <x v="0"/>
    <n v="12"/>
    <s v="10+ Years"/>
    <x v="0"/>
  </r>
  <r>
    <s v="Moran, Patrick"/>
    <n v="10223"/>
    <n v="0"/>
    <n v="0"/>
    <n v="1"/>
    <n v="3"/>
    <n v="5"/>
    <n v="3"/>
    <n v="1"/>
    <n v="72106"/>
    <n v="0"/>
    <n v="20"/>
    <x v="2"/>
    <s v="MA"/>
    <n v="2127"/>
    <d v="1976-12-03T00:00:00"/>
    <x v="0"/>
    <s v="Single"/>
    <s v="US Citizen"/>
    <s v="No"/>
    <s v="Black or African American"/>
    <d v="2012-01-09T00:00:00"/>
    <m/>
    <s v="N/A-StillEmployed"/>
    <x v="0"/>
    <x v="0"/>
    <s v="Kelley Spirea"/>
    <n v="18"/>
    <s v="Diversity Job Fair"/>
    <x v="1"/>
    <n v="4.0999999999999996"/>
    <n v="4"/>
    <n v="0"/>
    <d v="2019-01-31T00:00:00"/>
    <n v="0"/>
    <n v="12"/>
    <x v="0"/>
    <n v="14"/>
    <s v="10+ Years"/>
    <x v="0"/>
  </r>
  <r>
    <s v="Morway, Tanya"/>
    <n v="10151"/>
    <n v="1"/>
    <n v="1"/>
    <n v="0"/>
    <n v="1"/>
    <n v="3"/>
    <n v="3"/>
    <n v="0"/>
    <n v="52599"/>
    <n v="0"/>
    <n v="15"/>
    <x v="19"/>
    <s v="MA"/>
    <n v="2048"/>
    <d v="1979-04-04T00:00:00"/>
    <x v="1"/>
    <s v="Married"/>
    <s v="US Citizen"/>
    <s v="No"/>
    <s v="White"/>
    <d v="2015-02-16T00:00:00"/>
    <m/>
    <s v="N/A-StillEmployed"/>
    <x v="0"/>
    <x v="1"/>
    <s v="Peter Monroe"/>
    <n v="7"/>
    <s v="CareerBuilder"/>
    <x v="1"/>
    <n v="3.81"/>
    <n v="3"/>
    <n v="6"/>
    <d v="2019-02-11T00:00:00"/>
    <n v="0"/>
    <n v="6"/>
    <x v="1"/>
    <n v="11"/>
    <s v="10+ Years"/>
    <x v="1"/>
  </r>
  <r>
    <s v="Motlagh,  Dawn"/>
    <n v="10254"/>
    <n v="0"/>
    <n v="2"/>
    <n v="0"/>
    <n v="1"/>
    <n v="5"/>
    <n v="3"/>
    <n v="0"/>
    <n v="63430"/>
    <n v="0"/>
    <n v="19"/>
    <x v="0"/>
    <s v="MA"/>
    <n v="2453"/>
    <d v="1984-07-07T00:00:00"/>
    <x v="1"/>
    <s v="Divorced"/>
    <s v="US Citizen"/>
    <s v="No"/>
    <s v="White"/>
    <d v="2013-04-01T00:00:00"/>
    <m/>
    <s v="N/A-StillEmployed"/>
    <x v="0"/>
    <x v="0"/>
    <s v="Elijiah Gray"/>
    <n v="16"/>
    <s v="LinkedIn"/>
    <x v="1"/>
    <n v="4.4000000000000004"/>
    <n v="4"/>
    <n v="0"/>
    <d v="2019-01-17T00:00:00"/>
    <n v="0"/>
    <n v="18"/>
    <x v="0"/>
    <n v="13"/>
    <s v="10+ Years"/>
    <x v="0"/>
  </r>
  <r>
    <s v="Moumanil, Maliki "/>
    <n v="10120"/>
    <n v="0"/>
    <n v="3"/>
    <n v="1"/>
    <n v="1"/>
    <n v="5"/>
    <n v="3"/>
    <n v="0"/>
    <n v="74417"/>
    <n v="0"/>
    <n v="20"/>
    <x v="2"/>
    <s v="MA"/>
    <n v="1460"/>
    <d v="1974-12-01T00:00:00"/>
    <x v="0"/>
    <s v="Separated"/>
    <s v="US Citizen"/>
    <s v="No"/>
    <s v="Black or African American"/>
    <d v="2013-05-13T00:00:00"/>
    <m/>
    <s v="N/A-StillEmployed"/>
    <x v="0"/>
    <x v="0"/>
    <s v="Michael Albert"/>
    <n v="22"/>
    <s v="LinkedIn"/>
    <x v="1"/>
    <n v="4.29"/>
    <n v="5"/>
    <n v="0"/>
    <d v="2019-01-28T00:00:00"/>
    <n v="0"/>
    <n v="11"/>
    <x v="0"/>
    <n v="12"/>
    <s v="10+ Years"/>
    <x v="0"/>
  </r>
  <r>
    <s v="Myers, Michael"/>
    <n v="10216"/>
    <n v="0"/>
    <n v="0"/>
    <n v="1"/>
    <n v="1"/>
    <n v="5"/>
    <n v="3"/>
    <n v="0"/>
    <n v="57575"/>
    <n v="0"/>
    <n v="19"/>
    <x v="0"/>
    <s v="MA"/>
    <n v="1550"/>
    <d v="1980-04-18T00:00:00"/>
    <x v="0"/>
    <s v="Single"/>
    <s v="US Citizen"/>
    <s v="No"/>
    <s v="Asian"/>
    <d v="2013-07-08T00:00:00"/>
    <m/>
    <s v="N/A-StillEmployed"/>
    <x v="0"/>
    <x v="0"/>
    <s v="Kissy Sullivan"/>
    <n v="20"/>
    <s v="LinkedIn"/>
    <x v="1"/>
    <n v="4.0999999999999996"/>
    <n v="4"/>
    <n v="0"/>
    <d v="2019-01-22T00:00:00"/>
    <n v="0"/>
    <n v="13"/>
    <x v="0"/>
    <n v="12"/>
    <s v="10+ Years"/>
    <x v="0"/>
  </r>
  <r>
    <s v="Navathe, Kurt"/>
    <n v="10079"/>
    <n v="0"/>
    <n v="0"/>
    <n v="1"/>
    <n v="1"/>
    <n v="3"/>
    <n v="3"/>
    <n v="0"/>
    <n v="87921"/>
    <n v="0"/>
    <n v="22"/>
    <x v="24"/>
    <s v="MA"/>
    <n v="2056"/>
    <d v="1970-04-25T00:00:00"/>
    <x v="0"/>
    <s v="Single"/>
    <s v="US Citizen"/>
    <s v="No"/>
    <s v="Asian"/>
    <d v="2017-02-10T00:00:00"/>
    <m/>
    <s v="N/A-StillEmployed"/>
    <x v="0"/>
    <x v="1"/>
    <s v="Brian Champaigne"/>
    <n v="13"/>
    <s v="Indeed"/>
    <x v="1"/>
    <n v="5"/>
    <n v="3"/>
    <n v="6"/>
    <d v="2019-02-25T00:00:00"/>
    <n v="0"/>
    <n v="17"/>
    <x v="1"/>
    <n v="9"/>
    <s v="5-10 Years"/>
    <x v="1"/>
  </r>
  <r>
    <s v="Ndzi, Colombui"/>
    <n v="10215"/>
    <n v="0"/>
    <n v="0"/>
    <n v="1"/>
    <n v="5"/>
    <n v="5"/>
    <n v="3"/>
    <n v="1"/>
    <n v="50470"/>
    <n v="1"/>
    <n v="19"/>
    <x v="0"/>
    <s v="MA"/>
    <n v="2110"/>
    <d v="1989-05-02T00:00:00"/>
    <x v="0"/>
    <s v="Single"/>
    <s v="US Citizen"/>
    <s v="No"/>
    <s v="Black or African American"/>
    <d v="2011-09-26T00:00:00"/>
    <d v="2014-04-04T00:00:00"/>
    <s v="return to school"/>
    <x v="1"/>
    <x v="0"/>
    <s v="Webster Butler"/>
    <n v="39"/>
    <s v="Diversity Job Fair"/>
    <x v="1"/>
    <n v="4.3"/>
    <n v="3"/>
    <n v="0"/>
    <d v="2013-03-02T00:00:00"/>
    <n v="0"/>
    <n v="19"/>
    <x v="0"/>
    <n v="2"/>
    <s v="2-5 Years"/>
    <x v="0"/>
  </r>
  <r>
    <s v="Ndzi, Horia"/>
    <n v="10185"/>
    <n v="1"/>
    <n v="1"/>
    <n v="1"/>
    <n v="5"/>
    <n v="5"/>
    <n v="3"/>
    <n v="0"/>
    <n v="46664"/>
    <n v="1"/>
    <n v="19"/>
    <x v="0"/>
    <s v="MA"/>
    <n v="2421"/>
    <d v="1983-03-28T00:00:00"/>
    <x v="0"/>
    <s v="Married"/>
    <s v="US Citizen"/>
    <s v="No"/>
    <s v="White"/>
    <d v="2013-04-01T00:00:00"/>
    <d v="2016-05-25T00:00:00"/>
    <s v="more money"/>
    <x v="1"/>
    <x v="0"/>
    <s v="Amy Dunn"/>
    <n v="11"/>
    <s v="Employee Referral"/>
    <x v="1"/>
    <n v="3.18"/>
    <n v="3"/>
    <n v="0"/>
    <d v="2016-03-06T00:00:00"/>
    <n v="0"/>
    <n v="10"/>
    <x v="0"/>
    <n v="3"/>
    <s v="2-5 Years"/>
    <x v="0"/>
  </r>
  <r>
    <s v="Newman, Richard "/>
    <n v="10063"/>
    <n v="1"/>
    <n v="1"/>
    <n v="1"/>
    <n v="3"/>
    <n v="5"/>
    <n v="3"/>
    <n v="0"/>
    <n v="48495"/>
    <n v="0"/>
    <n v="19"/>
    <x v="0"/>
    <s v="MA"/>
    <n v="2136"/>
    <d v="1977-04-08T00:00:00"/>
    <x v="0"/>
    <s v="Married"/>
    <s v="US Citizen"/>
    <s v="No"/>
    <s v="White"/>
    <d v="2014-05-12T00:00:00"/>
    <m/>
    <s v="N/A-StillEmployed"/>
    <x v="0"/>
    <x v="0"/>
    <s v="Ketsia Liebig"/>
    <n v="19"/>
    <s v="LinkedIn"/>
    <x v="1"/>
    <n v="5"/>
    <n v="5"/>
    <n v="0"/>
    <d v="2019-02-18T00:00:00"/>
    <n v="0"/>
    <n v="11"/>
    <x v="0"/>
    <n v="11"/>
    <s v="10+ Years"/>
    <x v="0"/>
  </r>
  <r>
    <s v="Ngodup, Shari "/>
    <n v="10037"/>
    <n v="0"/>
    <n v="3"/>
    <n v="0"/>
    <n v="1"/>
    <n v="5"/>
    <n v="4"/>
    <n v="1"/>
    <n v="52984"/>
    <n v="0"/>
    <n v="19"/>
    <x v="0"/>
    <s v="MA"/>
    <n v="1810"/>
    <d v="1967-06-03T00:00:00"/>
    <x v="1"/>
    <s v="Separated"/>
    <s v="US Citizen"/>
    <s v="No"/>
    <s v="Black or African American"/>
    <d v="2013-04-01T00:00:00"/>
    <m/>
    <s v="N/A-StillEmployed"/>
    <x v="0"/>
    <x v="0"/>
    <s v="Brannon Miller"/>
    <n v="12"/>
    <s v="Diversity Job Fair"/>
    <x v="0"/>
    <n v="4"/>
    <n v="3"/>
    <n v="0"/>
    <d v="2019-02-13T00:00:00"/>
    <n v="0"/>
    <n v="12"/>
    <x v="0"/>
    <n v="13"/>
    <s v="10+ Years"/>
    <x v="0"/>
  </r>
  <r>
    <s v="Nguyen, Dheepa"/>
    <n v="10042"/>
    <n v="0"/>
    <n v="0"/>
    <n v="0"/>
    <n v="1"/>
    <n v="6"/>
    <n v="3"/>
    <n v="0"/>
    <n v="63695"/>
    <n v="0"/>
    <n v="3"/>
    <x v="11"/>
    <s v="GA"/>
    <n v="30428"/>
    <d v="1989-03-31T00:00:00"/>
    <x v="1"/>
    <s v="Single"/>
    <s v="US Citizen"/>
    <s v="No"/>
    <s v="Two or more races"/>
    <d v="2013-07-08T00:00:00"/>
    <m/>
    <s v="N/A-StillEmployed"/>
    <x v="0"/>
    <x v="4"/>
    <s v="Lynn Daneault"/>
    <n v="21"/>
    <s v="Indeed"/>
    <x v="1"/>
    <n v="5"/>
    <n v="5"/>
    <n v="0"/>
    <d v="2019-01-25T00:00:00"/>
    <n v="0"/>
    <n v="2"/>
    <x v="0"/>
    <n v="12"/>
    <s v="10+ Years"/>
    <x v="2"/>
  </r>
  <r>
    <s v="Nguyen, Lei-Ming"/>
    <n v="10206"/>
    <n v="0"/>
    <n v="0"/>
    <n v="0"/>
    <n v="1"/>
    <n v="5"/>
    <n v="3"/>
    <n v="0"/>
    <n v="62061"/>
    <n v="0"/>
    <n v="19"/>
    <x v="0"/>
    <s v="MA"/>
    <n v="2132"/>
    <d v="1984-07-07T00:00:00"/>
    <x v="1"/>
    <s v="Single"/>
    <s v="US Citizen"/>
    <s v="No"/>
    <s v="White"/>
    <d v="2013-07-08T00:00:00"/>
    <m/>
    <s v="N/A-StillEmployed"/>
    <x v="0"/>
    <x v="0"/>
    <s v="David Stanley"/>
    <n v="14"/>
    <s v="LinkedIn"/>
    <x v="1"/>
    <n v="3.6"/>
    <n v="5"/>
    <n v="0"/>
    <d v="2019-01-02T00:00:00"/>
    <n v="0"/>
    <n v="4"/>
    <x v="0"/>
    <n v="12"/>
    <s v="10+ Years"/>
    <x v="0"/>
  </r>
  <r>
    <s v="Nowlan, Kristie"/>
    <n v="10104"/>
    <n v="0"/>
    <n v="0"/>
    <n v="0"/>
    <n v="1"/>
    <n v="5"/>
    <n v="3"/>
    <n v="0"/>
    <n v="66738"/>
    <n v="0"/>
    <n v="20"/>
    <x v="2"/>
    <s v="MA"/>
    <n v="1040"/>
    <d v="1985-11-23T00:00:00"/>
    <x v="1"/>
    <s v="Single"/>
    <s v="US Citizen"/>
    <s v="No"/>
    <s v="White"/>
    <d v="2014-11-10T00:00:00"/>
    <m/>
    <s v="N/A-StillEmployed"/>
    <x v="0"/>
    <x v="0"/>
    <s v="Elijiah Gray"/>
    <n v="16"/>
    <s v="Indeed"/>
    <x v="1"/>
    <n v="4.53"/>
    <n v="5"/>
    <n v="0"/>
    <d v="2019-01-16T00:00:00"/>
    <n v="0"/>
    <n v="5"/>
    <x v="0"/>
    <n v="11"/>
    <s v="10+ Years"/>
    <x v="0"/>
  </r>
  <r>
    <s v="O'hare, Lynn"/>
    <n v="10303"/>
    <n v="0"/>
    <n v="0"/>
    <n v="0"/>
    <n v="4"/>
    <n v="5"/>
    <n v="1"/>
    <n v="0"/>
    <n v="52674"/>
    <n v="1"/>
    <n v="19"/>
    <x v="0"/>
    <s v="MA"/>
    <n v="2152"/>
    <d v="1980-09-30T00:00:00"/>
    <x v="1"/>
    <s v="Single"/>
    <s v="US Citizen"/>
    <s v="No"/>
    <s v="Two or more races"/>
    <d v="2014-03-31T00:00:00"/>
    <d v="2018-05-01T00:00:00"/>
    <s v="performance"/>
    <x v="2"/>
    <x v="0"/>
    <s v="Kissy Sullivan"/>
    <n v="20"/>
    <s v="LinkedIn"/>
    <x v="3"/>
    <n v="2.33"/>
    <n v="2"/>
    <n v="0"/>
    <d v="2018-03-09T00:00:00"/>
    <n v="6"/>
    <n v="3"/>
    <x v="0"/>
    <n v="4"/>
    <s v="2-5 Years"/>
    <x v="0"/>
  </r>
  <r>
    <s v="Oliver, Brooke "/>
    <n v="10078"/>
    <n v="1"/>
    <n v="1"/>
    <n v="0"/>
    <n v="5"/>
    <n v="5"/>
    <n v="3"/>
    <n v="0"/>
    <n v="71966"/>
    <n v="1"/>
    <n v="20"/>
    <x v="2"/>
    <s v="MA"/>
    <n v="2492"/>
    <d v="1952-02-11T00:00:00"/>
    <x v="1"/>
    <s v="Married"/>
    <s v="US Citizen"/>
    <s v="No"/>
    <s v="Asian"/>
    <d v="2012-05-14T00:00:00"/>
    <d v="2013-08-19T00:00:00"/>
    <s v="unhappy"/>
    <x v="1"/>
    <x v="0"/>
    <s v="Webster Butler"/>
    <n v="39"/>
    <s v="LinkedIn"/>
    <x v="1"/>
    <n v="5"/>
    <n v="3"/>
    <n v="0"/>
    <d v="2013-07-02T00:00:00"/>
    <n v="0"/>
    <n v="17"/>
    <x v="0"/>
    <n v="1"/>
    <s v="0-2 Years"/>
    <x v="0"/>
  </r>
  <r>
    <s v="Onque, Jasmine"/>
    <n v="10121"/>
    <n v="0"/>
    <n v="0"/>
    <n v="0"/>
    <n v="1"/>
    <n v="6"/>
    <n v="3"/>
    <n v="0"/>
    <n v="63051"/>
    <n v="0"/>
    <n v="3"/>
    <x v="11"/>
    <s v="FL"/>
    <n v="33174"/>
    <d v="1990-05-11T00:00:00"/>
    <x v="1"/>
    <s v="Single"/>
    <s v="US Citizen"/>
    <s v="Yes"/>
    <s v="White"/>
    <d v="2013-09-30T00:00:00"/>
    <m/>
    <s v="N/A-StillEmployed"/>
    <x v="0"/>
    <x v="4"/>
    <s v="Lynn Daneault"/>
    <n v="21"/>
    <s v="Indeed"/>
    <x v="1"/>
    <n v="4.28"/>
    <n v="3"/>
    <n v="0"/>
    <d v="2019-01-25T00:00:00"/>
    <n v="0"/>
    <n v="1"/>
    <x v="0"/>
    <n v="12"/>
    <s v="10+ Years"/>
    <x v="2"/>
  </r>
  <r>
    <s v="Osturnka, Adeel"/>
    <n v="10021"/>
    <n v="1"/>
    <n v="1"/>
    <n v="1"/>
    <n v="1"/>
    <n v="5"/>
    <n v="4"/>
    <n v="0"/>
    <n v="47414"/>
    <n v="0"/>
    <n v="19"/>
    <x v="0"/>
    <s v="MA"/>
    <n v="2478"/>
    <d v="1976-12-11T00:00:00"/>
    <x v="0"/>
    <s v="Married"/>
    <s v="US Citizen"/>
    <s v="No"/>
    <s v="White"/>
    <d v="2013-09-30T00:00:00"/>
    <m/>
    <s v="N/A-StillEmployed"/>
    <x v="0"/>
    <x v="0"/>
    <s v="Kelley Spirea"/>
    <n v="18"/>
    <s v="LinkedIn"/>
    <x v="0"/>
    <n v="5"/>
    <n v="3"/>
    <n v="0"/>
    <d v="2019-02-07T00:00:00"/>
    <n v="0"/>
    <n v="13"/>
    <x v="0"/>
    <n v="12"/>
    <s v="10+ Years"/>
    <x v="0"/>
  </r>
  <r>
    <s v="Owad, Clinton"/>
    <n v="10281"/>
    <n v="0"/>
    <n v="0"/>
    <n v="1"/>
    <n v="1"/>
    <n v="5"/>
    <n v="2"/>
    <n v="0"/>
    <n v="53060"/>
    <n v="0"/>
    <n v="19"/>
    <x v="0"/>
    <s v="MA"/>
    <n v="1760"/>
    <d v="1979-11-24T00:00:00"/>
    <x v="0"/>
    <s v="Single"/>
    <s v="US Citizen"/>
    <s v="No"/>
    <s v="Black or African American"/>
    <d v="2014-02-17T00:00:00"/>
    <m/>
    <s v="N/A-StillEmployed"/>
    <x v="0"/>
    <x v="0"/>
    <s v="Michael Albert"/>
    <n v="22"/>
    <s v="LinkedIn"/>
    <x v="2"/>
    <n v="4.25"/>
    <n v="3"/>
    <n v="0"/>
    <d v="2019-02-04T00:00:00"/>
    <n v="4"/>
    <n v="6"/>
    <x v="0"/>
    <n v="12"/>
    <s v="10+ Years"/>
    <x v="0"/>
  </r>
  <r>
    <s v="Ozark, Travis"/>
    <n v="10041"/>
    <n v="0"/>
    <n v="0"/>
    <n v="1"/>
    <n v="1"/>
    <n v="6"/>
    <n v="3"/>
    <n v="0"/>
    <n v="68829"/>
    <n v="0"/>
    <n v="3"/>
    <x v="11"/>
    <s v="NC"/>
    <n v="27229"/>
    <d v="1982-05-19T00:00:00"/>
    <x v="0"/>
    <s v="Single"/>
    <s v="US Citizen"/>
    <s v="No"/>
    <s v="White"/>
    <d v="2015-01-05T00:00:00"/>
    <m/>
    <s v="N/A-StillEmployed"/>
    <x v="0"/>
    <x v="4"/>
    <s v="John Smith"/>
    <n v="17"/>
    <s v="Website"/>
    <x v="1"/>
    <n v="5"/>
    <n v="5"/>
    <n v="0"/>
    <d v="2019-01-14T00:00:00"/>
    <n v="0"/>
    <n v="18"/>
    <x v="0"/>
    <n v="11"/>
    <s v="10+ Years"/>
    <x v="2"/>
  </r>
  <r>
    <s v="Panjwani, Nina"/>
    <n v="10148"/>
    <n v="1"/>
    <n v="1"/>
    <n v="0"/>
    <n v="5"/>
    <n v="5"/>
    <n v="3"/>
    <n v="0"/>
    <n v="63515"/>
    <n v="1"/>
    <n v="19"/>
    <x v="0"/>
    <s v="MA"/>
    <n v="2351"/>
    <d v="1979-05-01T00:00:00"/>
    <x v="1"/>
    <s v="Married"/>
    <s v="US Citizen"/>
    <s v="No"/>
    <s v="White"/>
    <d v="2011-02-07T00:00:00"/>
    <d v="2014-01-12T00:00:00"/>
    <s v="Another position"/>
    <x v="1"/>
    <x v="0"/>
    <s v="Elijiah Gray"/>
    <n v="16"/>
    <s v="Google Search"/>
    <x v="1"/>
    <n v="3.89"/>
    <n v="4"/>
    <n v="0"/>
    <d v="2013-03-04T00:00:00"/>
    <n v="0"/>
    <n v="7"/>
    <x v="0"/>
    <n v="2"/>
    <s v="2-5 Years"/>
    <x v="0"/>
  </r>
  <r>
    <s v="Patronick, Lucas"/>
    <n v="10005"/>
    <n v="0"/>
    <n v="0"/>
    <n v="1"/>
    <n v="5"/>
    <n v="4"/>
    <n v="4"/>
    <n v="1"/>
    <n v="108987"/>
    <n v="1"/>
    <n v="24"/>
    <x v="3"/>
    <s v="MA"/>
    <n v="1844"/>
    <d v="1979-02-20T00:00:00"/>
    <x v="0"/>
    <s v="Single"/>
    <s v="US Citizen"/>
    <s v="No"/>
    <s v="Black or African American"/>
    <d v="2011-11-07T00:00:00"/>
    <d v="2015-09-07T00:00:00"/>
    <s v="Another position"/>
    <x v="1"/>
    <x v="2"/>
    <s v="Alex Sweetwater"/>
    <n v="10"/>
    <s v="Diversity Job Fair"/>
    <x v="0"/>
    <n v="5"/>
    <n v="5"/>
    <n v="3"/>
    <d v="2015-08-16T00:00:00"/>
    <n v="0"/>
    <n v="13"/>
    <x v="1"/>
    <n v="3"/>
    <s v="2-5 Years"/>
    <x v="1"/>
  </r>
  <r>
    <s v="Pearson, Randall"/>
    <n v="10259"/>
    <n v="1"/>
    <n v="1"/>
    <n v="1"/>
    <n v="5"/>
    <n v="3"/>
    <n v="3"/>
    <n v="0"/>
    <n v="93093"/>
    <n v="1"/>
    <n v="9"/>
    <x v="5"/>
    <s v="MA"/>
    <n v="2747"/>
    <d v="1984-09-05T00:00:00"/>
    <x v="0"/>
    <s v="Married"/>
    <s v="US Citizen"/>
    <s v="No"/>
    <s v="White"/>
    <d v="2014-12-01T00:00:00"/>
    <d v="2016-05-01T00:00:00"/>
    <s v="performance"/>
    <x v="1"/>
    <x v="1"/>
    <s v="Simon Roup"/>
    <n v="4"/>
    <s v="Employee Referral"/>
    <x v="1"/>
    <n v="4.7"/>
    <n v="4"/>
    <n v="5"/>
    <d v="2016-01-16T00:00:00"/>
    <n v="0"/>
    <n v="19"/>
    <x v="1"/>
    <n v="1"/>
    <s v="0-2 Years"/>
    <x v="1"/>
  </r>
  <r>
    <s v="Smith, Martin"/>
    <n v="10286"/>
    <n v="0"/>
    <n v="0"/>
    <n v="1"/>
    <n v="5"/>
    <n v="5"/>
    <n v="2"/>
    <n v="0"/>
    <n v="53564"/>
    <n v="1"/>
    <n v="19"/>
    <x v="0"/>
    <s v="MA"/>
    <n v="2458"/>
    <d v="1988-03-17T00:00:00"/>
    <x v="0"/>
    <s v="Single"/>
    <s v="US Citizen"/>
    <s v="No"/>
    <s v="Black or African American"/>
    <d v="2011-01-10T00:00:00"/>
    <d v="2017-12-28T00:00:00"/>
    <s v="career change"/>
    <x v="1"/>
    <x v="0"/>
    <s v="Webster Butler"/>
    <n v="39"/>
    <s v="Google Search"/>
    <x v="2"/>
    <n v="3.54"/>
    <n v="5"/>
    <n v="0"/>
    <d v="2017-04-06T00:00:00"/>
    <n v="4"/>
    <n v="15"/>
    <x v="0"/>
    <n v="6"/>
    <s v="5-10 Years"/>
    <x v="0"/>
  </r>
  <r>
    <s v="Pelletier, Ermine"/>
    <n v="10297"/>
    <n v="1"/>
    <n v="1"/>
    <n v="0"/>
    <n v="5"/>
    <n v="5"/>
    <n v="2"/>
    <n v="0"/>
    <n v="60270"/>
    <n v="1"/>
    <n v="20"/>
    <x v="2"/>
    <s v="MA"/>
    <n v="2472"/>
    <d v="1989-07-18T00:00:00"/>
    <x v="1"/>
    <s v="Married"/>
    <s v="US Citizen"/>
    <s v="No"/>
    <s v="Asian"/>
    <d v="2011-07-05T00:00:00"/>
    <d v="2015-09-15T00:00:00"/>
    <s v="unhappy"/>
    <x v="1"/>
    <x v="0"/>
    <s v="Amy Dunn"/>
    <n v="11"/>
    <s v="CareerBuilder"/>
    <x v="2"/>
    <n v="2.4"/>
    <n v="5"/>
    <n v="0"/>
    <d v="2015-02-06T00:00:00"/>
    <n v="5"/>
    <n v="2"/>
    <x v="0"/>
    <n v="4"/>
    <s v="2-5 Years"/>
    <x v="0"/>
  </r>
  <r>
    <s v="Perry, Shakira"/>
    <n v="10171"/>
    <n v="0"/>
    <n v="0"/>
    <n v="0"/>
    <n v="5"/>
    <n v="5"/>
    <n v="3"/>
    <n v="0"/>
    <n v="45998"/>
    <n v="1"/>
    <n v="19"/>
    <x v="0"/>
    <s v="MA"/>
    <n v="2176"/>
    <d v="1986-07-20T00:00:00"/>
    <x v="1"/>
    <s v="Single"/>
    <s v="US Citizen"/>
    <s v="No"/>
    <s v="White"/>
    <d v="2011-05-16T00:00:00"/>
    <d v="2015-10-25T00:00:00"/>
    <s v="medical issues"/>
    <x v="1"/>
    <x v="0"/>
    <s v="Amy Dunn"/>
    <n v="11"/>
    <s v="LinkedIn"/>
    <x v="1"/>
    <n v="3.45"/>
    <n v="4"/>
    <n v="0"/>
    <d v="2014-05-13T00:00:00"/>
    <n v="0"/>
    <n v="5"/>
    <x v="0"/>
    <n v="4"/>
    <s v="2-5 Years"/>
    <x v="0"/>
  </r>
  <r>
    <s v="Peters, Lauren"/>
    <n v="10032"/>
    <n v="1"/>
    <n v="1"/>
    <n v="0"/>
    <n v="5"/>
    <n v="5"/>
    <n v="4"/>
    <n v="0"/>
    <n v="57954"/>
    <n v="1"/>
    <n v="20"/>
    <x v="2"/>
    <s v="MA"/>
    <n v="1886"/>
    <d v="1986-08-17T00:00:00"/>
    <x v="1"/>
    <s v="Married"/>
    <s v="US Citizen"/>
    <s v="No"/>
    <s v="White"/>
    <d v="2011-05-16T00:00:00"/>
    <d v="2013-02-04T00:00:00"/>
    <s v="more money"/>
    <x v="1"/>
    <x v="0"/>
    <s v="Ketsia Liebig"/>
    <n v="19"/>
    <s v="Indeed"/>
    <x v="0"/>
    <n v="4.2"/>
    <n v="5"/>
    <n v="0"/>
    <d v="2013-01-10T00:00:00"/>
    <n v="0"/>
    <n v="12"/>
    <x v="0"/>
    <n v="1"/>
    <s v="0-2 Years"/>
    <x v="0"/>
  </r>
  <r>
    <s v="Peterson, Ebonee  "/>
    <n v="10130"/>
    <n v="1"/>
    <n v="1"/>
    <n v="0"/>
    <n v="5"/>
    <n v="5"/>
    <n v="3"/>
    <n v="0"/>
    <n v="74669"/>
    <n v="1"/>
    <n v="18"/>
    <x v="9"/>
    <s v="MA"/>
    <n v="2030"/>
    <d v="1977-05-09T00:00:00"/>
    <x v="1"/>
    <s v="Married"/>
    <s v="US Citizen"/>
    <s v="No"/>
    <s v="White"/>
    <d v="2010-10-25T00:00:00"/>
    <d v="2016-05-18T00:00:00"/>
    <s v="Another position"/>
    <x v="1"/>
    <x v="0"/>
    <s v="Janet King"/>
    <n v="2"/>
    <s v="Indeed"/>
    <x v="1"/>
    <n v="4.16"/>
    <n v="5"/>
    <n v="0"/>
    <d v="2015-03-05T00:00:00"/>
    <n v="0"/>
    <n v="6"/>
    <x v="0"/>
    <n v="5"/>
    <s v="5-10 Years"/>
    <x v="2"/>
  </r>
  <r>
    <s v="Petingill, Shana  "/>
    <n v="10217"/>
    <n v="1"/>
    <n v="1"/>
    <n v="0"/>
    <n v="1"/>
    <n v="5"/>
    <n v="3"/>
    <n v="0"/>
    <n v="74226"/>
    <n v="0"/>
    <n v="20"/>
    <x v="2"/>
    <s v="MA"/>
    <n v="2050"/>
    <d v="1979-03-10T00:00:00"/>
    <x v="1"/>
    <s v="Married"/>
    <s v="Eligible NonCitizen"/>
    <s v="No"/>
    <s v="Asian"/>
    <d v="2012-04-02T00:00:00"/>
    <m/>
    <s v="N/A-StillEmployed"/>
    <x v="0"/>
    <x v="0"/>
    <s v="Brannon Miller"/>
    <n v="12"/>
    <s v="LinkedIn"/>
    <x v="1"/>
    <n v="4.3"/>
    <n v="3"/>
    <n v="0"/>
    <d v="2019-01-14T00:00:00"/>
    <n v="0"/>
    <n v="14"/>
    <x v="0"/>
    <n v="14"/>
    <s v="10+ Years"/>
    <x v="0"/>
  </r>
  <r>
    <s v="Petrowsky, Thelma"/>
    <n v="10016"/>
    <n v="1"/>
    <n v="1"/>
    <n v="0"/>
    <n v="1"/>
    <n v="3"/>
    <n v="4"/>
    <n v="0"/>
    <n v="93554"/>
    <n v="0"/>
    <n v="9"/>
    <x v="5"/>
    <s v="MA"/>
    <n v="1886"/>
    <d v="1984-09-16T00:00:00"/>
    <x v="1"/>
    <s v="Married"/>
    <s v="US Citizen"/>
    <s v="No"/>
    <s v="Black or African American"/>
    <d v="2014-11-10T00:00:00"/>
    <m/>
    <s v="N/A-StillEmployed"/>
    <x v="0"/>
    <x v="1"/>
    <s v="Simon Roup"/>
    <n v="4"/>
    <s v="Employee Referral"/>
    <x v="0"/>
    <n v="4.5999999999999996"/>
    <n v="5"/>
    <n v="7"/>
    <d v="2019-01-04T00:00:00"/>
    <n v="0"/>
    <n v="16"/>
    <x v="1"/>
    <n v="11"/>
    <s v="10+ Years"/>
    <x v="1"/>
  </r>
  <r>
    <s v="Pham, Hong"/>
    <n v="10050"/>
    <n v="1"/>
    <n v="1"/>
    <n v="1"/>
    <n v="5"/>
    <n v="5"/>
    <n v="3"/>
    <n v="0"/>
    <n v="64724"/>
    <n v="1"/>
    <n v="19"/>
    <x v="0"/>
    <s v="MA"/>
    <n v="2451"/>
    <d v="1988-03-06T00:00:00"/>
    <x v="0"/>
    <s v="Married"/>
    <s v="US Citizen"/>
    <s v="No"/>
    <s v="Asian"/>
    <d v="2011-07-05T00:00:00"/>
    <d v="2012-11-30T00:00:00"/>
    <s v="more money"/>
    <x v="1"/>
    <x v="0"/>
    <s v="Brannon Miller"/>
    <n v="12"/>
    <s v="Google Search"/>
    <x v="1"/>
    <n v="5"/>
    <n v="3"/>
    <n v="0"/>
    <d v="2012-02-20T00:00:00"/>
    <n v="0"/>
    <n v="13"/>
    <x v="0"/>
    <n v="1"/>
    <s v="0-2 Years"/>
    <x v="0"/>
  </r>
  <r>
    <s v="Pitt, Brad "/>
    <n v="10164"/>
    <n v="0"/>
    <n v="0"/>
    <n v="1"/>
    <n v="1"/>
    <n v="5"/>
    <n v="3"/>
    <n v="0"/>
    <n v="47001"/>
    <n v="0"/>
    <n v="19"/>
    <x v="0"/>
    <s v="MA"/>
    <n v="2451"/>
    <d v="1981-11-23T00:00:00"/>
    <x v="0"/>
    <s v="Single"/>
    <s v="US Citizen"/>
    <s v="No"/>
    <s v="White"/>
    <d v="2007-11-05T00:00:00"/>
    <m/>
    <s v="N/A-StillEmployed"/>
    <x v="0"/>
    <x v="0"/>
    <s v="David Stanley"/>
    <n v="14"/>
    <s v="Google Search"/>
    <x v="1"/>
    <n v="3.66"/>
    <n v="3"/>
    <n v="0"/>
    <d v="2019-02-25T00:00:00"/>
    <n v="0"/>
    <n v="15"/>
    <x v="0"/>
    <n v="18"/>
    <s v="10+ Years"/>
    <x v="0"/>
  </r>
  <r>
    <s v="Potts, Xana"/>
    <n v="10124"/>
    <n v="1"/>
    <n v="1"/>
    <n v="0"/>
    <n v="1"/>
    <n v="6"/>
    <n v="3"/>
    <n v="0"/>
    <n v="61844"/>
    <n v="0"/>
    <n v="3"/>
    <x v="11"/>
    <s v="KY"/>
    <n v="40220"/>
    <d v="1988-08-29T00:00:00"/>
    <x v="1"/>
    <s v="Married"/>
    <s v="US Citizen"/>
    <s v="No"/>
    <s v="Black or African American"/>
    <d v="2012-01-09T00:00:00"/>
    <m/>
    <s v="N/A-StillEmployed"/>
    <x v="0"/>
    <x v="4"/>
    <s v="Lynn Daneault"/>
    <n v="21"/>
    <s v="Website"/>
    <x v="1"/>
    <n v="4.2"/>
    <n v="5"/>
    <n v="0"/>
    <d v="2019-02-01T00:00:00"/>
    <n v="0"/>
    <n v="9"/>
    <x v="0"/>
    <n v="14"/>
    <s v="10+ Years"/>
    <x v="2"/>
  </r>
  <r>
    <s v="Power, Morissa"/>
    <n v="10187"/>
    <n v="0"/>
    <n v="2"/>
    <n v="0"/>
    <n v="5"/>
    <n v="5"/>
    <n v="3"/>
    <n v="0"/>
    <n v="46799"/>
    <n v="1"/>
    <n v="19"/>
    <x v="0"/>
    <s v="MA"/>
    <n v="1742"/>
    <d v="1984-10-15T00:00:00"/>
    <x v="1"/>
    <s v="Divorced"/>
    <s v="Eligible NonCitizen"/>
    <s v="No"/>
    <s v="Asian"/>
    <d v="2011-05-16T00:00:00"/>
    <d v="2018-06-04T00:00:00"/>
    <s v="Another position"/>
    <x v="1"/>
    <x v="0"/>
    <s v="Kissy Sullivan"/>
    <n v="20"/>
    <s v="Google Search"/>
    <x v="1"/>
    <n v="3.17"/>
    <n v="4"/>
    <n v="0"/>
    <d v="2018-04-02T00:00:00"/>
    <n v="0"/>
    <n v="14"/>
    <x v="0"/>
    <n v="7"/>
    <s v="5-10 Years"/>
    <x v="0"/>
  </r>
  <r>
    <s v="Punjabhi, Louis  "/>
    <n v="10225"/>
    <n v="0"/>
    <n v="0"/>
    <n v="1"/>
    <n v="1"/>
    <n v="5"/>
    <n v="3"/>
    <n v="0"/>
    <n v="59472"/>
    <n v="0"/>
    <n v="19"/>
    <x v="0"/>
    <s v="MA"/>
    <n v="2109"/>
    <d v="1961-06-19T00:00:00"/>
    <x v="0"/>
    <s v="Single"/>
    <s v="US Citizen"/>
    <s v="No"/>
    <s v="White"/>
    <d v="2014-01-06T00:00:00"/>
    <m/>
    <s v="N/A-StillEmployed"/>
    <x v="0"/>
    <x v="0"/>
    <s v="Kelley Spirea"/>
    <n v="18"/>
    <s v="Employee Referral"/>
    <x v="1"/>
    <n v="4.8"/>
    <n v="3"/>
    <n v="0"/>
    <d v="2019-01-07T00:00:00"/>
    <n v="0"/>
    <n v="14"/>
    <x v="0"/>
    <n v="12"/>
    <s v="10+ Years"/>
    <x v="0"/>
  </r>
  <r>
    <s v="Purinton, Janine"/>
    <n v="10262"/>
    <n v="0"/>
    <n v="2"/>
    <n v="0"/>
    <n v="5"/>
    <n v="5"/>
    <n v="3"/>
    <n v="0"/>
    <n v="46430"/>
    <n v="1"/>
    <n v="19"/>
    <x v="0"/>
    <s v="MA"/>
    <n v="2474"/>
    <d v="1970-09-22T00:00:00"/>
    <x v="1"/>
    <s v="Divorced"/>
    <s v="US Citizen"/>
    <s v="No"/>
    <s v="White"/>
    <d v="2012-09-24T00:00:00"/>
    <d v="2013-06-18T00:00:00"/>
    <s v="unhappy"/>
    <x v="1"/>
    <x v="0"/>
    <s v="Kissy Sullivan"/>
    <n v="20"/>
    <s v="Indeed"/>
    <x v="1"/>
    <n v="4.5"/>
    <n v="5"/>
    <n v="0"/>
    <d v="2013-04-02T00:00:00"/>
    <n v="0"/>
    <n v="16"/>
    <x v="0"/>
    <n v="0"/>
    <s v="0-2 Years"/>
    <x v="0"/>
  </r>
  <r>
    <s v="Quinn, Sean"/>
    <n v="10131"/>
    <n v="1"/>
    <n v="1"/>
    <n v="1"/>
    <n v="5"/>
    <n v="1"/>
    <n v="3"/>
    <n v="1"/>
    <n v="83363"/>
    <n v="1"/>
    <n v="23"/>
    <x v="3"/>
    <s v="MA"/>
    <n v="2045"/>
    <d v="1984-11-06T00:00:00"/>
    <x v="0"/>
    <s v="Married"/>
    <s v="Eligible NonCitizen"/>
    <s v="No"/>
    <s v="Black or African American"/>
    <d v="2011-02-21T00:00:00"/>
    <d v="2015-08-15T00:00:00"/>
    <s v="career change"/>
    <x v="1"/>
    <x v="2"/>
    <s v="Janet King"/>
    <n v="2"/>
    <s v="Diversity Job Fair"/>
    <x v="1"/>
    <n v="4.1500000000000004"/>
    <n v="4"/>
    <n v="0"/>
    <d v="2014-04-19T00:00:00"/>
    <n v="0"/>
    <n v="4"/>
    <x v="1"/>
    <n v="4"/>
    <s v="2-5 Years"/>
    <x v="1"/>
  </r>
  <r>
    <s v="Rachael, Maggie"/>
    <n v="10239"/>
    <n v="1"/>
    <n v="1"/>
    <n v="0"/>
    <n v="1"/>
    <n v="3"/>
    <n v="3"/>
    <n v="0"/>
    <n v="95920"/>
    <n v="0"/>
    <n v="4"/>
    <x v="17"/>
    <s v="MA"/>
    <n v="2110"/>
    <d v="1980-05-12T00:00:00"/>
    <x v="1"/>
    <s v="Married"/>
    <s v="US Citizen"/>
    <s v="No"/>
    <s v="Black or African American"/>
    <d v="2016-10-02T00:00:00"/>
    <m/>
    <s v="N/A-StillEmployed"/>
    <x v="0"/>
    <x v="1"/>
    <s v="Brian Champaigne"/>
    <n v="13"/>
    <s v="Indeed"/>
    <x v="1"/>
    <n v="4.4000000000000004"/>
    <n v="4"/>
    <n v="6"/>
    <d v="2019-02-06T00:00:00"/>
    <n v="0"/>
    <n v="10"/>
    <x v="1"/>
    <n v="9"/>
    <s v="5-10 Years"/>
    <x v="1"/>
  </r>
  <r>
    <s v="Rarrick, Quinn"/>
    <n v="10152"/>
    <n v="0"/>
    <n v="2"/>
    <n v="1"/>
    <n v="5"/>
    <n v="5"/>
    <n v="3"/>
    <n v="0"/>
    <n v="61729"/>
    <n v="1"/>
    <n v="19"/>
    <x v="0"/>
    <s v="MA"/>
    <n v="2478"/>
    <d v="1984-12-31T00:00:00"/>
    <x v="0"/>
    <s v="Divorced"/>
    <s v="US Citizen"/>
    <s v="No"/>
    <s v="White"/>
    <d v="2011-09-26T00:00:00"/>
    <d v="2018-04-07T00:00:00"/>
    <s v="more money"/>
    <x v="1"/>
    <x v="0"/>
    <s v="Michael Albert"/>
    <n v="22"/>
    <s v="Indeed"/>
    <x v="1"/>
    <n v="3.8"/>
    <n v="5"/>
    <n v="0"/>
    <d v="2018-02-04T00:00:00"/>
    <n v="0"/>
    <n v="19"/>
    <x v="0"/>
    <n v="6"/>
    <s v="5-10 Years"/>
    <x v="0"/>
  </r>
  <r>
    <s v="Ren, Kylo"/>
    <n v="10140"/>
    <n v="1"/>
    <n v="1"/>
    <n v="1"/>
    <n v="1"/>
    <n v="6"/>
    <n v="3"/>
    <n v="0"/>
    <n v="61809"/>
    <n v="0"/>
    <n v="3"/>
    <x v="11"/>
    <s v="ID"/>
    <n v="83706"/>
    <d v="1954-10-12T00:00:00"/>
    <x v="0"/>
    <s v="Married"/>
    <s v="US Citizen"/>
    <s v="No"/>
    <s v="White"/>
    <d v="2014-05-12T00:00:00"/>
    <m/>
    <s v="N/A-StillEmployed"/>
    <x v="0"/>
    <x v="4"/>
    <s v="John Smith"/>
    <n v="17"/>
    <s v="CareerBuilder"/>
    <x v="1"/>
    <n v="3.98"/>
    <n v="3"/>
    <n v="0"/>
    <d v="2019-01-28T00:00:00"/>
    <n v="0"/>
    <n v="4"/>
    <x v="0"/>
    <n v="11"/>
    <s v="10+ Years"/>
    <x v="2"/>
  </r>
  <r>
    <s v="Rhoads, Thomas"/>
    <n v="10058"/>
    <n v="0"/>
    <n v="2"/>
    <n v="1"/>
    <n v="5"/>
    <n v="5"/>
    <n v="3"/>
    <n v="0"/>
    <n v="45115"/>
    <n v="1"/>
    <n v="19"/>
    <x v="0"/>
    <s v="MA"/>
    <n v="2176"/>
    <d v="1982-07-22T00:00:00"/>
    <x v="0"/>
    <s v="Divorced"/>
    <s v="US Citizen"/>
    <s v="Yes"/>
    <s v="White"/>
    <d v="2011-05-16T00:00:00"/>
    <d v="2016-01-15T00:00:00"/>
    <s v="retiring"/>
    <x v="1"/>
    <x v="0"/>
    <s v="Elijiah Gray"/>
    <n v="16"/>
    <s v="LinkedIn"/>
    <x v="1"/>
    <n v="5"/>
    <n v="4"/>
    <n v="0"/>
    <d v="2015-03-30T00:00:00"/>
    <n v="0"/>
    <n v="11"/>
    <x v="0"/>
    <n v="4"/>
    <s v="2-5 Years"/>
    <x v="0"/>
  </r>
  <r>
    <s v="Rivera, Haley  "/>
    <n v="10011"/>
    <n v="1"/>
    <n v="1"/>
    <n v="0"/>
    <n v="1"/>
    <n v="5"/>
    <n v="4"/>
    <n v="0"/>
    <n v="46738"/>
    <n v="0"/>
    <n v="19"/>
    <x v="0"/>
    <s v="MA"/>
    <n v="2171"/>
    <d v="1973-01-12T00:00:00"/>
    <x v="1"/>
    <s v="Married"/>
    <s v="US Citizen"/>
    <s v="No"/>
    <s v="Asian"/>
    <d v="2011-11-28T00:00:00"/>
    <m/>
    <s v="N/A-StillEmployed"/>
    <x v="0"/>
    <x v="0"/>
    <s v="Webster Butler"/>
    <m/>
    <s v="Google Search"/>
    <x v="0"/>
    <n v="4.3600000000000003"/>
    <n v="5"/>
    <n v="0"/>
    <d v="2019-02-11T00:00:00"/>
    <n v="0"/>
    <n v="16"/>
    <x v="0"/>
    <n v="14"/>
    <s v="10+ Years"/>
    <x v="0"/>
  </r>
  <r>
    <s v="Roberson, May"/>
    <n v="10230"/>
    <n v="0"/>
    <n v="2"/>
    <n v="0"/>
    <n v="5"/>
    <n v="5"/>
    <n v="3"/>
    <n v="0"/>
    <n v="64971"/>
    <n v="1"/>
    <n v="20"/>
    <x v="2"/>
    <s v="MA"/>
    <n v="1902"/>
    <d v="1981-09-05T00:00:00"/>
    <x v="1"/>
    <s v="Divorced"/>
    <s v="Eligible NonCitizen"/>
    <s v="No"/>
    <s v="Black or African American"/>
    <d v="2011-09-26T00:00:00"/>
    <d v="2011-10-22T00:00:00"/>
    <s v="return to school"/>
    <x v="1"/>
    <x v="0"/>
    <s v="David Stanley"/>
    <n v="14"/>
    <s v="Google Search"/>
    <x v="1"/>
    <n v="4.5"/>
    <n v="4"/>
    <n v="0"/>
    <d v="2011-10-22T00:00:00"/>
    <n v="0"/>
    <n v="10"/>
    <x v="0"/>
    <n v="0"/>
    <s v="0-2 Years"/>
    <x v="0"/>
  </r>
  <r>
    <s v="Robertson, Peter"/>
    <n v="10224"/>
    <n v="1"/>
    <n v="1"/>
    <n v="1"/>
    <n v="5"/>
    <n v="5"/>
    <n v="3"/>
    <n v="0"/>
    <n v="55578"/>
    <n v="1"/>
    <n v="20"/>
    <x v="2"/>
    <s v="MA"/>
    <n v="2138"/>
    <d v="1972-07-03T00:00:00"/>
    <x v="0"/>
    <s v="Married"/>
    <s v="US Citizen"/>
    <s v="No"/>
    <s v="White"/>
    <d v="2011-07-05T00:00:00"/>
    <d v="2012-02-08T00:00:00"/>
    <s v="Another position"/>
    <x v="1"/>
    <x v="0"/>
    <s v="Kissy Sullivan"/>
    <n v="20"/>
    <s v="Indeed"/>
    <x v="1"/>
    <n v="4.2"/>
    <n v="5"/>
    <n v="0"/>
    <d v="2012-01-06T00:00:00"/>
    <n v="0"/>
    <n v="13"/>
    <x v="0"/>
    <n v="0"/>
    <s v="0-2 Years"/>
    <x v="0"/>
  </r>
  <r>
    <s v="Robinson, Alain  "/>
    <n v="10047"/>
    <n v="1"/>
    <n v="1"/>
    <n v="1"/>
    <n v="5"/>
    <n v="5"/>
    <n v="3"/>
    <n v="0"/>
    <n v="50428"/>
    <n v="1"/>
    <n v="19"/>
    <x v="0"/>
    <s v="MA"/>
    <n v="1420"/>
    <d v="1974-01-07T00:00:00"/>
    <x v="0"/>
    <s v="Married"/>
    <s v="US Citizen"/>
    <s v="No"/>
    <s v="Black or African American"/>
    <d v="2011-01-10T00:00:00"/>
    <d v="2016-01-26T00:00:00"/>
    <s v="attendance"/>
    <x v="1"/>
    <x v="0"/>
    <s v="Amy Dunn"/>
    <n v="11"/>
    <s v="Indeed"/>
    <x v="1"/>
    <n v="5"/>
    <n v="3"/>
    <n v="0"/>
    <d v="2015-01-10T00:00:00"/>
    <n v="0"/>
    <n v="11"/>
    <x v="0"/>
    <n v="5"/>
    <s v="5-10 Years"/>
    <x v="0"/>
  </r>
  <r>
    <s v="Robinson, Cherly"/>
    <n v="10285"/>
    <n v="1"/>
    <n v="1"/>
    <n v="0"/>
    <n v="4"/>
    <n v="5"/>
    <n v="2"/>
    <n v="0"/>
    <n v="61422"/>
    <n v="1"/>
    <n v="19"/>
    <x v="0"/>
    <s v="MA"/>
    <n v="1460"/>
    <d v="1985-01-07T00:00:00"/>
    <x v="1"/>
    <s v="Married"/>
    <s v="US Citizen"/>
    <s v="No"/>
    <s v="White"/>
    <d v="2011-01-10T00:00:00"/>
    <d v="2016-05-17T00:00:00"/>
    <s v="attendance"/>
    <x v="2"/>
    <x v="0"/>
    <s v="Ketsia Liebig"/>
    <n v="19"/>
    <s v="Indeed"/>
    <x v="2"/>
    <n v="3.6"/>
    <n v="3"/>
    <n v="0"/>
    <d v="2016-04-05T00:00:00"/>
    <n v="4"/>
    <n v="16"/>
    <x v="0"/>
    <n v="5"/>
    <s v="5-10 Years"/>
    <x v="0"/>
  </r>
  <r>
    <s v="Robinson, Elias"/>
    <n v="10020"/>
    <n v="0"/>
    <n v="4"/>
    <n v="1"/>
    <n v="1"/>
    <n v="5"/>
    <n v="4"/>
    <n v="0"/>
    <n v="63353"/>
    <n v="0"/>
    <n v="19"/>
    <x v="0"/>
    <s v="MA"/>
    <n v="1730"/>
    <d v="1985-01-28T00:00:00"/>
    <x v="0"/>
    <s v="Widowed"/>
    <s v="US Citizen"/>
    <s v="No"/>
    <s v="White"/>
    <d v="2013-07-08T00:00:00"/>
    <m/>
    <s v="N/A-StillEmployed"/>
    <x v="0"/>
    <x v="0"/>
    <s v="Brannon Miller"/>
    <n v="12"/>
    <s v="Employee Referral"/>
    <x v="0"/>
    <n v="3.6"/>
    <n v="5"/>
    <n v="0"/>
    <d v="2019-02-11T00:00:00"/>
    <n v="0"/>
    <n v="4"/>
    <x v="0"/>
    <n v="12"/>
    <s v="10+ Years"/>
    <x v="0"/>
  </r>
  <r>
    <s v="Roby, Lori "/>
    <n v="10162"/>
    <n v="1"/>
    <n v="1"/>
    <n v="0"/>
    <n v="1"/>
    <n v="3"/>
    <n v="3"/>
    <n v="0"/>
    <n v="89883"/>
    <n v="0"/>
    <n v="9"/>
    <x v="5"/>
    <s v="MA"/>
    <n v="1886"/>
    <d v="1981-10-11T00:00:00"/>
    <x v="1"/>
    <s v="Married"/>
    <s v="US Citizen"/>
    <s v="No"/>
    <s v="White"/>
    <d v="2015-02-16T00:00:00"/>
    <m/>
    <s v="N/A-StillEmployed"/>
    <x v="0"/>
    <x v="1"/>
    <s v="Simon Roup"/>
    <n v="4"/>
    <s v="Employee Referral"/>
    <x v="1"/>
    <n v="3.69"/>
    <n v="5"/>
    <n v="6"/>
    <d v="2019-02-14T00:00:00"/>
    <n v="0"/>
    <n v="15"/>
    <x v="1"/>
    <n v="11"/>
    <s v="10+ Years"/>
    <x v="1"/>
  </r>
  <r>
    <s v="Roehrich, Bianca"/>
    <n v="10149"/>
    <n v="0"/>
    <n v="0"/>
    <n v="0"/>
    <n v="5"/>
    <n v="3"/>
    <n v="3"/>
    <n v="0"/>
    <n v="120000"/>
    <n v="1"/>
    <n v="29"/>
    <x v="27"/>
    <s v="MA"/>
    <n v="2703"/>
    <d v="1973-05-27T00:00:00"/>
    <x v="1"/>
    <s v="Single"/>
    <s v="US Citizen"/>
    <s v="Yes"/>
    <s v="White"/>
    <d v="2015-01-05T00:00:00"/>
    <d v="2018-11-10T00:00:00"/>
    <s v="Another position"/>
    <x v="1"/>
    <x v="1"/>
    <s v="Simon Roup"/>
    <n v="4"/>
    <s v="LinkedIn"/>
    <x v="1"/>
    <n v="3.88"/>
    <n v="3"/>
    <n v="7"/>
    <d v="2018-02-13T00:00:00"/>
    <n v="0"/>
    <n v="12"/>
    <x v="1"/>
    <n v="3"/>
    <s v="2-5 Years"/>
    <x v="1"/>
  </r>
  <r>
    <s v="Roper, Katie"/>
    <n v="10086"/>
    <n v="0"/>
    <n v="0"/>
    <n v="0"/>
    <n v="1"/>
    <n v="3"/>
    <n v="3"/>
    <n v="0"/>
    <n v="150290"/>
    <n v="0"/>
    <n v="7"/>
    <x v="28"/>
    <s v="MA"/>
    <n v="2056"/>
    <d v="1972-11-21T00:00:00"/>
    <x v="1"/>
    <s v="Single"/>
    <s v="US Citizen"/>
    <s v="No"/>
    <s v="Black or African American"/>
    <d v="2017-01-07T00:00:00"/>
    <m/>
    <s v="N/A-StillEmployed"/>
    <x v="0"/>
    <x v="1"/>
    <s v="Brian Champaigne"/>
    <n v="13"/>
    <s v="Indeed"/>
    <x v="1"/>
    <n v="4.9400000000000004"/>
    <n v="3"/>
    <n v="5"/>
    <d v="2019-02-06T00:00:00"/>
    <n v="0"/>
    <n v="17"/>
    <x v="1"/>
    <n v="9"/>
    <s v="5-10 Years"/>
    <x v="1"/>
  </r>
  <r>
    <s v="Rose, Ashley  "/>
    <n v="10054"/>
    <n v="0"/>
    <n v="3"/>
    <n v="0"/>
    <n v="1"/>
    <n v="5"/>
    <n v="3"/>
    <n v="0"/>
    <n v="60627"/>
    <n v="0"/>
    <n v="19"/>
    <x v="0"/>
    <s v="MA"/>
    <n v="1886"/>
    <d v="1974-12-05T00:00:00"/>
    <x v="1"/>
    <s v="Separated"/>
    <s v="US Citizen"/>
    <s v="No"/>
    <s v="White"/>
    <d v="2014-01-06T00:00:00"/>
    <m/>
    <s v="N/A-StillEmployed"/>
    <x v="0"/>
    <x v="0"/>
    <s v="David Stanley"/>
    <n v="14"/>
    <s v="Website"/>
    <x v="1"/>
    <n v="5"/>
    <n v="4"/>
    <n v="0"/>
    <d v="2019-01-31T00:00:00"/>
    <n v="0"/>
    <n v="8"/>
    <x v="0"/>
    <n v="12"/>
    <s v="10+ Years"/>
    <x v="0"/>
  </r>
  <r>
    <s v="Rossetti, Bruno"/>
    <n v="10065"/>
    <n v="0"/>
    <n v="0"/>
    <n v="1"/>
    <n v="5"/>
    <n v="5"/>
    <n v="3"/>
    <n v="0"/>
    <n v="53180"/>
    <n v="1"/>
    <n v="19"/>
    <x v="0"/>
    <s v="MA"/>
    <n v="2155"/>
    <d v="1987-03-18T00:00:00"/>
    <x v="0"/>
    <s v="Single"/>
    <s v="US Citizen"/>
    <s v="No"/>
    <s v="White"/>
    <d v="2011-04-04T00:00:00"/>
    <d v="2018-08-13T00:00:00"/>
    <s v="Another position"/>
    <x v="1"/>
    <x v="0"/>
    <s v="Kissy Sullivan"/>
    <n v="20"/>
    <s v="Google Search"/>
    <x v="1"/>
    <n v="5"/>
    <n v="5"/>
    <n v="0"/>
    <d v="2018-07-02T00:00:00"/>
    <n v="0"/>
    <n v="4"/>
    <x v="0"/>
    <n v="7"/>
    <s v="5-10 Years"/>
    <x v="0"/>
  </r>
  <r>
    <s v="Roup,Simon"/>
    <n v="10198"/>
    <n v="0"/>
    <n v="0"/>
    <n v="1"/>
    <n v="1"/>
    <n v="3"/>
    <n v="3"/>
    <n v="0"/>
    <n v="140920"/>
    <n v="0"/>
    <n v="13"/>
    <x v="29"/>
    <s v="MA"/>
    <n v="2481"/>
    <d v="1973-04-05T00:00:00"/>
    <x v="0"/>
    <s v="Single"/>
    <s v="US Citizen"/>
    <s v="No"/>
    <s v="White"/>
    <d v="2013-01-20T00:00:00"/>
    <m/>
    <s v="N/A-StillEmployed"/>
    <x v="0"/>
    <x v="1"/>
    <s v="Jennifer Zamora"/>
    <n v="5"/>
    <s v="Indeed"/>
    <x v="1"/>
    <n v="3.6"/>
    <n v="5"/>
    <n v="7"/>
    <d v="2019-02-18T00:00:00"/>
    <n v="0"/>
    <n v="13"/>
    <x v="1"/>
    <n v="13"/>
    <s v="10+ Years"/>
    <x v="2"/>
  </r>
  <r>
    <s v="Ruiz, Ricardo"/>
    <n v="10222"/>
    <n v="0"/>
    <n v="2"/>
    <n v="1"/>
    <n v="5"/>
    <n v="3"/>
    <n v="3"/>
    <n v="1"/>
    <n v="148999"/>
    <n v="1"/>
    <n v="13"/>
    <x v="29"/>
    <s v="MA"/>
    <n v="1915"/>
    <d v="1964-01-04T00:00:00"/>
    <x v="0"/>
    <s v="Divorced"/>
    <s v="US Citizen"/>
    <s v="No"/>
    <s v="Black or African American"/>
    <d v="2012-01-09T00:00:00"/>
    <d v="2015-11-04T00:00:00"/>
    <s v="hours"/>
    <x v="1"/>
    <x v="1"/>
    <s v="Jennifer Zamora"/>
    <n v="5"/>
    <s v="Diversity Job Fair"/>
    <x v="1"/>
    <n v="4.3"/>
    <n v="4"/>
    <n v="6"/>
    <d v="2015-01-04T00:00:00"/>
    <n v="0"/>
    <n v="8"/>
    <x v="1"/>
    <n v="3"/>
    <s v="2-5 Years"/>
    <x v="2"/>
  </r>
  <r>
    <s v="Saada, Adell"/>
    <n v="10126"/>
    <n v="1"/>
    <n v="1"/>
    <n v="0"/>
    <n v="1"/>
    <n v="4"/>
    <n v="3"/>
    <n v="0"/>
    <n v="86214"/>
    <n v="0"/>
    <n v="24"/>
    <x v="3"/>
    <s v="MA"/>
    <n v="2132"/>
    <d v="1986-07-24T00:00:00"/>
    <x v="1"/>
    <s v="Married"/>
    <s v="US Citizen"/>
    <s v="No"/>
    <s v="White"/>
    <d v="2012-11-05T00:00:00"/>
    <m/>
    <s v="N/A-StillEmployed"/>
    <x v="0"/>
    <x v="2"/>
    <s v="Alex Sweetwater"/>
    <n v="10"/>
    <s v="Indeed"/>
    <x v="1"/>
    <n v="4.2"/>
    <n v="3"/>
    <n v="6"/>
    <d v="2019-02-13T00:00:00"/>
    <n v="0"/>
    <n v="2"/>
    <x v="1"/>
    <n v="13"/>
    <s v="10+ Years"/>
    <x v="1"/>
  </r>
  <r>
    <s v="Saar-Beckles, Melinda"/>
    <n v="10295"/>
    <n v="0"/>
    <n v="0"/>
    <n v="0"/>
    <n v="2"/>
    <n v="5"/>
    <n v="2"/>
    <n v="1"/>
    <n v="47750"/>
    <n v="0"/>
    <n v="19"/>
    <x v="0"/>
    <s v="MA"/>
    <n v="1801"/>
    <d v="1968-06-06T00:00:00"/>
    <x v="1"/>
    <s v="Single"/>
    <s v="US Citizen"/>
    <s v="No"/>
    <s v="Black or African American"/>
    <d v="2016-07-04T00:00:00"/>
    <m/>
    <s v="N/A-StillEmployed"/>
    <x v="0"/>
    <x v="0"/>
    <s v="Kelley Spirea"/>
    <n v="18"/>
    <s v="Diversity Job Fair"/>
    <x v="2"/>
    <n v="2.6"/>
    <n v="4"/>
    <n v="0"/>
    <d v="2019-02-18T00:00:00"/>
    <n v="5"/>
    <n v="4"/>
    <x v="0"/>
    <n v="9"/>
    <s v="5-10 Years"/>
    <x v="0"/>
  </r>
  <r>
    <s v="Sadki, Nore  "/>
    <n v="10260"/>
    <n v="0"/>
    <n v="0"/>
    <n v="1"/>
    <n v="5"/>
    <n v="5"/>
    <n v="3"/>
    <n v="0"/>
    <n v="46428"/>
    <n v="1"/>
    <n v="19"/>
    <x v="0"/>
    <s v="MA"/>
    <n v="2148"/>
    <d v="1974-12-21T00:00:00"/>
    <x v="0"/>
    <s v="Single"/>
    <s v="US Citizen"/>
    <s v="No"/>
    <s v="White"/>
    <d v="2009-01-05T00:00:00"/>
    <d v="2018-07-30T00:00:00"/>
    <s v="relocation out of area"/>
    <x v="1"/>
    <x v="0"/>
    <s v="Michael Albert"/>
    <n v="22"/>
    <s v="Google Search"/>
    <x v="1"/>
    <n v="4.5999999999999996"/>
    <n v="5"/>
    <n v="0"/>
    <d v="2018-02-05T00:00:00"/>
    <n v="0"/>
    <n v="7"/>
    <x v="0"/>
    <n v="9"/>
    <s v="5-10 Years"/>
    <x v="0"/>
  </r>
  <r>
    <s v="Sahoo, Adil"/>
    <n v="10233"/>
    <n v="1"/>
    <n v="1"/>
    <n v="1"/>
    <n v="1"/>
    <n v="5"/>
    <n v="3"/>
    <n v="0"/>
    <n v="57975"/>
    <n v="0"/>
    <n v="20"/>
    <x v="2"/>
    <s v="MA"/>
    <n v="2062"/>
    <d v="1986-04-26T00:00:00"/>
    <x v="0"/>
    <s v="Married"/>
    <s v="US Citizen"/>
    <s v="No"/>
    <s v="White"/>
    <d v="2010-08-30T00:00:00"/>
    <m/>
    <s v="N/A-StillEmployed"/>
    <x v="0"/>
    <x v="0"/>
    <s v="Kelley Spirea"/>
    <n v="18"/>
    <s v="CareerBuilder"/>
    <x v="1"/>
    <n v="4.0999999999999996"/>
    <n v="3"/>
    <n v="0"/>
    <d v="2019-01-10T00:00:00"/>
    <n v="0"/>
    <n v="13"/>
    <x v="0"/>
    <n v="15"/>
    <s v="10+ Years"/>
    <x v="0"/>
  </r>
  <r>
    <s v="Salter, Jason"/>
    <n v="10229"/>
    <n v="0"/>
    <n v="2"/>
    <n v="1"/>
    <n v="5"/>
    <n v="3"/>
    <n v="3"/>
    <n v="0"/>
    <n v="88527"/>
    <n v="1"/>
    <n v="9"/>
    <x v="30"/>
    <s v="MA"/>
    <n v="2452"/>
    <d v="1987-12-17T00:00:00"/>
    <x v="0"/>
    <s v="Divorced"/>
    <s v="US Citizen"/>
    <s v="No"/>
    <s v="Black or African American"/>
    <d v="2015-01-05T00:00:00"/>
    <d v="2015-10-31T00:00:00"/>
    <s v="hours"/>
    <x v="1"/>
    <x v="1"/>
    <s v="Simon Roup"/>
    <n v="4"/>
    <s v="LinkedIn"/>
    <x v="1"/>
    <n v="4.2"/>
    <n v="3"/>
    <n v="5"/>
    <d v="2015-04-20T00:00:00"/>
    <n v="0"/>
    <n v="2"/>
    <x v="1"/>
    <n v="0"/>
    <s v="0-2 Years"/>
    <x v="1"/>
  </r>
  <r>
    <s v="Sander, Kamrin"/>
    <n v="10169"/>
    <n v="1"/>
    <n v="1"/>
    <n v="0"/>
    <n v="1"/>
    <n v="5"/>
    <n v="3"/>
    <n v="0"/>
    <n v="56147"/>
    <n v="0"/>
    <n v="19"/>
    <x v="0"/>
    <s v="MA"/>
    <n v="2154"/>
    <d v="1988-07-10T00:00:00"/>
    <x v="1"/>
    <s v="Married"/>
    <s v="US Citizen"/>
    <s v="No"/>
    <s v="Black or African American"/>
    <d v="2014-09-29T00:00:00"/>
    <m/>
    <s v="N/A-StillEmployed"/>
    <x v="0"/>
    <x v="0"/>
    <s v="Elijiah Gray"/>
    <n v="16"/>
    <s v="LinkedIn"/>
    <x v="1"/>
    <n v="3.51"/>
    <n v="3"/>
    <n v="0"/>
    <d v="2019-02-18T00:00:00"/>
    <n v="0"/>
    <n v="2"/>
    <x v="0"/>
    <n v="11"/>
    <s v="10+ Years"/>
    <x v="0"/>
  </r>
  <r>
    <s v="Sewkumar, Nori"/>
    <n v="10071"/>
    <n v="0"/>
    <n v="0"/>
    <n v="0"/>
    <n v="3"/>
    <n v="5"/>
    <n v="3"/>
    <n v="0"/>
    <n v="50923"/>
    <n v="0"/>
    <n v="19"/>
    <x v="0"/>
    <s v="MA"/>
    <n v="2191"/>
    <d v="1975-03-10T00:00:00"/>
    <x v="1"/>
    <s v="Single"/>
    <s v="US Citizen"/>
    <s v="No"/>
    <s v="Asian"/>
    <d v="2013-09-30T00:00:00"/>
    <m/>
    <s v="N/A-StillEmployed"/>
    <x v="0"/>
    <x v="0"/>
    <s v="Webster Butler"/>
    <m/>
    <s v="Google Search"/>
    <x v="1"/>
    <n v="5"/>
    <n v="5"/>
    <n v="0"/>
    <d v="2019-02-06T00:00:00"/>
    <n v="0"/>
    <n v="14"/>
    <x v="0"/>
    <n v="12"/>
    <s v="10+ Years"/>
    <x v="0"/>
  </r>
  <r>
    <s v="Shepard, Anita "/>
    <n v="10179"/>
    <n v="1"/>
    <n v="1"/>
    <n v="0"/>
    <n v="1"/>
    <n v="3"/>
    <n v="3"/>
    <n v="0"/>
    <n v="50750"/>
    <n v="0"/>
    <n v="15"/>
    <x v="19"/>
    <s v="MA"/>
    <n v="1773"/>
    <d v="1981-04-14T00:00:00"/>
    <x v="1"/>
    <s v="Married"/>
    <s v="US Citizen"/>
    <s v="No"/>
    <s v="White"/>
    <d v="2014-09-30T00:00:00"/>
    <m/>
    <s v="N/A-StillEmployed"/>
    <x v="0"/>
    <x v="1"/>
    <s v="Peter Monroe"/>
    <n v="7"/>
    <s v="LinkedIn"/>
    <x v="1"/>
    <n v="3.31"/>
    <n v="3"/>
    <n v="6"/>
    <d v="2019-01-07T00:00:00"/>
    <n v="0"/>
    <n v="7"/>
    <x v="1"/>
    <n v="11"/>
    <s v="10+ Years"/>
    <x v="1"/>
  </r>
  <r>
    <s v="Shields, Seffi"/>
    <n v="10091"/>
    <n v="1"/>
    <n v="1"/>
    <n v="0"/>
    <n v="1"/>
    <n v="5"/>
    <n v="3"/>
    <n v="0"/>
    <n v="52087"/>
    <n v="0"/>
    <n v="19"/>
    <x v="0"/>
    <s v="MA"/>
    <n v="2149"/>
    <d v="1985-08-24T00:00:00"/>
    <x v="1"/>
    <s v="Married"/>
    <s v="US Citizen"/>
    <s v="No"/>
    <s v="White"/>
    <d v="2013-08-19T00:00:00"/>
    <m/>
    <s v="N/A-StillEmployed"/>
    <x v="0"/>
    <x v="0"/>
    <s v="Amy Dunn"/>
    <n v="11"/>
    <s v="LinkedIn"/>
    <x v="1"/>
    <n v="4.8099999999999996"/>
    <n v="4"/>
    <n v="0"/>
    <d v="2019-02-15T00:00:00"/>
    <n v="0"/>
    <n v="15"/>
    <x v="0"/>
    <n v="12"/>
    <s v="10+ Years"/>
    <x v="0"/>
  </r>
  <r>
    <s v="Simard, Kramer"/>
    <n v="10178"/>
    <n v="1"/>
    <n v="1"/>
    <n v="1"/>
    <n v="1"/>
    <n v="3"/>
    <n v="3"/>
    <n v="0"/>
    <n v="87826"/>
    <n v="0"/>
    <n v="9"/>
    <x v="5"/>
    <s v="MA"/>
    <n v="2110"/>
    <d v="1970-02-08T00:00:00"/>
    <x v="0"/>
    <s v="Married"/>
    <s v="US Citizen"/>
    <s v="Yes"/>
    <s v="White"/>
    <d v="2015-01-05T00:00:00"/>
    <m/>
    <s v="N/A-StillEmployed"/>
    <x v="0"/>
    <x v="1"/>
    <s v="Simon Roup"/>
    <n v="4"/>
    <s v="Employee Referral"/>
    <x v="1"/>
    <n v="3.32"/>
    <n v="3"/>
    <n v="7"/>
    <d v="2019-01-14T00:00:00"/>
    <n v="0"/>
    <n v="16"/>
    <x v="1"/>
    <n v="11"/>
    <s v="10+ Years"/>
    <x v="1"/>
  </r>
  <r>
    <s v="Singh, Nan "/>
    <n v="10039"/>
    <n v="0"/>
    <n v="0"/>
    <n v="0"/>
    <n v="1"/>
    <n v="1"/>
    <n v="3"/>
    <n v="0"/>
    <n v="51920"/>
    <n v="0"/>
    <n v="2"/>
    <x v="22"/>
    <s v="MA"/>
    <n v="2330"/>
    <d v="1988-05-19T00:00:00"/>
    <x v="1"/>
    <s v="Single"/>
    <s v="US Citizen"/>
    <s v="No"/>
    <s v="White"/>
    <d v="2015-05-01T00:00:00"/>
    <m/>
    <s v="N/A-StillEmployed"/>
    <x v="0"/>
    <x v="3"/>
    <s v="Brandon R. LeBlanc"/>
    <n v="1"/>
    <s v="Website"/>
    <x v="1"/>
    <n v="5"/>
    <n v="3"/>
    <n v="5"/>
    <d v="2019-01-15T00:00:00"/>
    <n v="0"/>
    <n v="2"/>
    <x v="0"/>
    <n v="10"/>
    <s v="10+ Years"/>
    <x v="1"/>
  </r>
  <r>
    <s v="Sloan, Constance"/>
    <n v="10095"/>
    <n v="0"/>
    <n v="0"/>
    <n v="0"/>
    <n v="5"/>
    <n v="5"/>
    <n v="3"/>
    <n v="0"/>
    <n v="63878"/>
    <n v="1"/>
    <n v="20"/>
    <x v="2"/>
    <s v="MA"/>
    <n v="1851"/>
    <d v="1987-11-25T00:00:00"/>
    <x v="1"/>
    <s v="Single"/>
    <s v="US Citizen"/>
    <s v="No"/>
    <s v="White"/>
    <d v="2009-10-26T00:00:00"/>
    <d v="2015-04-08T00:00:00"/>
    <s v="maternity leave - did not return"/>
    <x v="1"/>
    <x v="0"/>
    <s v="Michael Albert"/>
    <n v="22"/>
    <s v="CareerBuilder"/>
    <x v="1"/>
    <n v="4.68"/>
    <n v="4"/>
    <n v="0"/>
    <d v="2015-04-02T00:00:00"/>
    <n v="0"/>
    <n v="20"/>
    <x v="0"/>
    <n v="5"/>
    <s v="5-10 Years"/>
    <x v="0"/>
  </r>
  <r>
    <s v="Smith, Joe"/>
    <n v="10027"/>
    <n v="0"/>
    <n v="0"/>
    <n v="1"/>
    <n v="1"/>
    <n v="5"/>
    <n v="4"/>
    <n v="0"/>
    <n v="60656"/>
    <n v="0"/>
    <n v="20"/>
    <x v="2"/>
    <s v="MA"/>
    <n v="2045"/>
    <d v="1963-10-30T00:00:00"/>
    <x v="0"/>
    <s v="Single"/>
    <s v="US Citizen"/>
    <s v="No"/>
    <s v="White"/>
    <d v="2014-09-29T00:00:00"/>
    <m/>
    <s v="N/A-StillEmployed"/>
    <x v="0"/>
    <x v="0"/>
    <s v="Elijiah Gray"/>
    <n v="16"/>
    <s v="Indeed"/>
    <x v="0"/>
    <n v="4.3"/>
    <n v="3"/>
    <n v="0"/>
    <d v="2019-01-28T00:00:00"/>
    <n v="0"/>
    <n v="4"/>
    <x v="0"/>
    <n v="11"/>
    <s v="10+ Years"/>
    <x v="0"/>
  </r>
  <r>
    <s v="Smith, John"/>
    <n v="10291"/>
    <n v="0"/>
    <n v="2"/>
    <n v="1"/>
    <n v="1"/>
    <n v="6"/>
    <n v="2"/>
    <n v="1"/>
    <n v="72992"/>
    <n v="0"/>
    <n v="21"/>
    <x v="16"/>
    <s v="MA"/>
    <n v="1886"/>
    <d v="1984-08-16T00:00:00"/>
    <x v="0"/>
    <s v="Divorced"/>
    <s v="US Citizen"/>
    <s v="No"/>
    <s v="Black or African American"/>
    <d v="2014-05-18T00:00:00"/>
    <m/>
    <s v="N/A-StillEmployed"/>
    <x v="0"/>
    <x v="4"/>
    <s v="Debra Houlihan"/>
    <n v="15"/>
    <s v="Diversity Job Fair"/>
    <x v="2"/>
    <n v="2.4"/>
    <n v="4"/>
    <n v="0"/>
    <d v="2019-01-16T00:00:00"/>
    <n v="2"/>
    <n v="16"/>
    <x v="0"/>
    <n v="11"/>
    <s v="10+ Years"/>
    <x v="2"/>
  </r>
  <r>
    <s v="Smith, Leigh Ann"/>
    <n v="10153"/>
    <n v="1"/>
    <n v="1"/>
    <n v="0"/>
    <n v="5"/>
    <n v="1"/>
    <n v="3"/>
    <n v="1"/>
    <n v="55000"/>
    <n v="1"/>
    <n v="2"/>
    <x v="22"/>
    <s v="MA"/>
    <n v="1844"/>
    <d v="1987-06-14T00:00:00"/>
    <x v="1"/>
    <s v="Married"/>
    <s v="US Citizen"/>
    <s v="No"/>
    <s v="Black or African American"/>
    <d v="2011-09-26T00:00:00"/>
    <d v="2013-09-25T00:00:00"/>
    <s v="career change"/>
    <x v="1"/>
    <x v="3"/>
    <s v="Brandon R. LeBlanc"/>
    <n v="1"/>
    <s v="Diversity Job Fair"/>
    <x v="1"/>
    <n v="3.8"/>
    <n v="4"/>
    <n v="4"/>
    <d v="2013-08-15T00:00:00"/>
    <n v="0"/>
    <n v="17"/>
    <x v="0"/>
    <n v="1"/>
    <s v="0-2 Years"/>
    <x v="1"/>
  </r>
  <r>
    <s v="Smith, Sade"/>
    <n v="10157"/>
    <n v="0"/>
    <n v="0"/>
    <n v="0"/>
    <n v="1"/>
    <n v="5"/>
    <n v="3"/>
    <n v="0"/>
    <n v="58939"/>
    <n v="0"/>
    <n v="19"/>
    <x v="0"/>
    <s v="MA"/>
    <n v="2130"/>
    <d v="1965-02-02T00:00:00"/>
    <x v="1"/>
    <s v="Single"/>
    <s v="US Citizen"/>
    <s v="No"/>
    <s v="White"/>
    <d v="2013-11-11T00:00:00"/>
    <m/>
    <s v="N/A-StillEmployed"/>
    <x v="0"/>
    <x v="0"/>
    <s v="Ketsia Liebig"/>
    <n v="19"/>
    <s v="Employee Referral"/>
    <x v="1"/>
    <n v="3.73"/>
    <n v="3"/>
    <n v="0"/>
    <d v="2019-01-24T00:00:00"/>
    <n v="0"/>
    <n v="16"/>
    <x v="0"/>
    <n v="12"/>
    <s v="10+ Years"/>
    <x v="0"/>
  </r>
  <r>
    <s v="Soto, Julia "/>
    <n v="10119"/>
    <n v="1"/>
    <n v="1"/>
    <n v="0"/>
    <n v="1"/>
    <n v="3"/>
    <n v="3"/>
    <n v="0"/>
    <n v="66593"/>
    <n v="0"/>
    <n v="14"/>
    <x v="4"/>
    <s v="MA"/>
    <n v="2360"/>
    <d v="1973-03-12T00:00:00"/>
    <x v="1"/>
    <s v="Married"/>
    <s v="US Citizen"/>
    <s v="No"/>
    <s v="Black or African American"/>
    <d v="2011-06-10T00:00:00"/>
    <m/>
    <s v="N/A-StillEmployed"/>
    <x v="0"/>
    <x v="1"/>
    <s v="Eric Dougall"/>
    <n v="6"/>
    <s v="LinkedIn"/>
    <x v="1"/>
    <n v="4.3"/>
    <n v="3"/>
    <n v="5"/>
    <d v="2019-02-08T00:00:00"/>
    <n v="0"/>
    <n v="19"/>
    <x v="1"/>
    <n v="14"/>
    <s v="10+ Years"/>
    <x v="1"/>
  </r>
  <r>
    <s v="Soze, Keyser"/>
    <n v="10180"/>
    <n v="1"/>
    <n v="1"/>
    <n v="1"/>
    <n v="2"/>
    <n v="3"/>
    <n v="3"/>
    <n v="0"/>
    <n v="87565"/>
    <n v="0"/>
    <n v="28"/>
    <x v="15"/>
    <s v="MA"/>
    <n v="1545"/>
    <d v="1983-02-09T00:00:00"/>
    <x v="0"/>
    <s v="Married"/>
    <s v="US Citizen"/>
    <s v="No"/>
    <s v="Asian"/>
    <d v="2016-06-30T00:00:00"/>
    <m/>
    <s v="N/A-StillEmployed"/>
    <x v="0"/>
    <x v="1"/>
    <s v="Peter Monroe"/>
    <n v="7"/>
    <s v="LinkedIn"/>
    <x v="1"/>
    <n v="3.27"/>
    <n v="4"/>
    <n v="5"/>
    <d v="2019-01-14T00:00:00"/>
    <n v="0"/>
    <n v="13"/>
    <x v="1"/>
    <n v="9"/>
    <s v="5-10 Years"/>
    <x v="1"/>
  </r>
  <r>
    <s v="Sparks, Taylor  "/>
    <n v="10302"/>
    <n v="1"/>
    <n v="1"/>
    <n v="0"/>
    <n v="1"/>
    <n v="5"/>
    <n v="1"/>
    <n v="0"/>
    <n v="64021"/>
    <n v="0"/>
    <n v="19"/>
    <x v="0"/>
    <s v="MA"/>
    <n v="2093"/>
    <d v="1968-07-20T00:00:00"/>
    <x v="1"/>
    <s v="Married"/>
    <s v="US Citizen"/>
    <s v="No"/>
    <s v="White"/>
    <d v="2012-02-20T00:00:00"/>
    <m/>
    <s v="N/A-StillEmployed"/>
    <x v="0"/>
    <x v="0"/>
    <s v="Brannon Miller"/>
    <n v="12"/>
    <s v="Indeed"/>
    <x v="3"/>
    <n v="2.4"/>
    <n v="2"/>
    <n v="1"/>
    <d v="2019-02-25T00:00:00"/>
    <n v="6"/>
    <n v="20"/>
    <x v="0"/>
    <n v="14"/>
    <s v="10+ Years"/>
    <x v="0"/>
  </r>
  <r>
    <s v="Spirea, Kelley"/>
    <n v="10090"/>
    <n v="1"/>
    <n v="1"/>
    <n v="0"/>
    <n v="1"/>
    <n v="5"/>
    <n v="3"/>
    <n v="0"/>
    <n v="65714"/>
    <n v="0"/>
    <n v="18"/>
    <x v="9"/>
    <s v="MA"/>
    <n v="2451"/>
    <d v="1975-09-30T00:00:00"/>
    <x v="1"/>
    <s v="Married"/>
    <s v="US Citizen"/>
    <s v="No"/>
    <s v="White"/>
    <d v="2012-10-02T00:00:00"/>
    <m/>
    <s v="N/A-StillEmployed"/>
    <x v="0"/>
    <x v="0"/>
    <s v="Janet King"/>
    <n v="2"/>
    <s v="LinkedIn"/>
    <x v="1"/>
    <n v="4.83"/>
    <n v="5"/>
    <n v="0"/>
    <d v="2019-02-14T00:00:00"/>
    <n v="0"/>
    <n v="15"/>
    <x v="0"/>
    <n v="13"/>
    <s v="10+ Years"/>
    <x v="2"/>
  </r>
  <r>
    <s v="Squatrito, Kristen"/>
    <n v="10030"/>
    <n v="0"/>
    <n v="2"/>
    <n v="0"/>
    <n v="5"/>
    <n v="5"/>
    <n v="4"/>
    <n v="0"/>
    <n v="62425"/>
    <n v="1"/>
    <n v="19"/>
    <x v="0"/>
    <s v="MA"/>
    <n v="2359"/>
    <d v="1973-03-26T00:00:00"/>
    <x v="1"/>
    <s v="Divorced"/>
    <s v="US Citizen"/>
    <s v="No"/>
    <s v="White"/>
    <d v="2013-05-13T00:00:00"/>
    <d v="2015-06-29T00:00:00"/>
    <s v="unhappy"/>
    <x v="1"/>
    <x v="0"/>
    <s v="David Stanley"/>
    <n v="14"/>
    <s v="LinkedIn"/>
    <x v="0"/>
    <n v="4.0999999999999996"/>
    <n v="4"/>
    <n v="0"/>
    <d v="2015-03-02T00:00:00"/>
    <n v="0"/>
    <n v="16"/>
    <x v="0"/>
    <n v="2"/>
    <s v="2-5 Years"/>
    <x v="0"/>
  </r>
  <r>
    <s v="Stanford,Barbara  M"/>
    <n v="10278"/>
    <n v="0"/>
    <n v="2"/>
    <n v="0"/>
    <n v="1"/>
    <n v="5"/>
    <n v="3"/>
    <n v="0"/>
    <n v="47961"/>
    <n v="0"/>
    <n v="19"/>
    <x v="0"/>
    <s v="MA"/>
    <n v="2050"/>
    <d v="1982-08-25T00:00:00"/>
    <x v="1"/>
    <s v="Divorced"/>
    <s v="US Citizen"/>
    <s v="No"/>
    <s v="Two or more races"/>
    <d v="2011-01-10T00:00:00"/>
    <m/>
    <s v="N/A-StillEmployed"/>
    <x v="0"/>
    <x v="0"/>
    <s v="Kissy Sullivan"/>
    <n v="20"/>
    <s v="Google Search"/>
    <x v="1"/>
    <n v="4.0999999999999996"/>
    <n v="4"/>
    <n v="0"/>
    <d v="2019-02-07T00:00:00"/>
    <n v="0"/>
    <n v="9"/>
    <x v="0"/>
    <n v="15"/>
    <s v="10+ Years"/>
    <x v="0"/>
  </r>
  <r>
    <s v="Stansfield, Norman"/>
    <n v="10307"/>
    <n v="1"/>
    <n v="1"/>
    <n v="1"/>
    <n v="1"/>
    <n v="6"/>
    <n v="1"/>
    <n v="0"/>
    <n v="58273"/>
    <n v="0"/>
    <n v="3"/>
    <x v="11"/>
    <s v="NV"/>
    <n v="89139"/>
    <d v="1974-05-09T00:00:00"/>
    <x v="0"/>
    <s v="Married"/>
    <s v="US Citizen"/>
    <s v="No"/>
    <s v="White"/>
    <d v="2014-05-12T00:00:00"/>
    <m/>
    <s v="N/A-StillEmployed"/>
    <x v="0"/>
    <x v="4"/>
    <s v="Lynn Daneault"/>
    <n v="21"/>
    <s v="Website"/>
    <x v="3"/>
    <n v="1.81"/>
    <n v="2"/>
    <n v="0"/>
    <d v="2019-01-17T00:00:00"/>
    <n v="3"/>
    <n v="5"/>
    <x v="0"/>
    <n v="11"/>
    <s v="10+ Years"/>
    <x v="2"/>
  </r>
  <r>
    <s v="Steans, Tyrone  "/>
    <n v="10147"/>
    <n v="0"/>
    <n v="0"/>
    <n v="1"/>
    <n v="1"/>
    <n v="1"/>
    <n v="3"/>
    <n v="0"/>
    <n v="63003"/>
    <n v="0"/>
    <n v="1"/>
    <x v="10"/>
    <s v="MA"/>
    <n v="2703"/>
    <d v="1986-09-01T00:00:00"/>
    <x v="0"/>
    <s v="Single"/>
    <s v="US Citizen"/>
    <s v="No"/>
    <s v="White"/>
    <d v="2014-09-29T00:00:00"/>
    <m/>
    <s v="N/A-StillEmployed"/>
    <x v="0"/>
    <x v="3"/>
    <s v="Brandon R. LeBlanc"/>
    <n v="1"/>
    <s v="Indeed"/>
    <x v="1"/>
    <n v="3.9"/>
    <n v="5"/>
    <n v="5"/>
    <d v="2019-01-18T00:00:00"/>
    <n v="0"/>
    <n v="9"/>
    <x v="0"/>
    <n v="11"/>
    <s v="10+ Years"/>
    <x v="1"/>
  </r>
  <r>
    <s v="Stoica, Rick"/>
    <n v="10266"/>
    <n v="1"/>
    <n v="1"/>
    <n v="1"/>
    <n v="1"/>
    <n v="5"/>
    <n v="3"/>
    <n v="0"/>
    <n v="61355"/>
    <n v="0"/>
    <n v="19"/>
    <x v="0"/>
    <s v="MA"/>
    <n v="2301"/>
    <d v="1985-03-14T00:00:00"/>
    <x v="0"/>
    <s v="Married"/>
    <s v="US Citizen"/>
    <s v="No"/>
    <s v="Asian"/>
    <d v="2014-02-17T00:00:00"/>
    <m/>
    <s v="N/A-StillEmployed"/>
    <x v="0"/>
    <x v="0"/>
    <s v="Kelley Spirea"/>
    <n v="18"/>
    <s v="LinkedIn"/>
    <x v="1"/>
    <n v="4.7"/>
    <n v="3"/>
    <n v="0"/>
    <d v="2019-01-11T00:00:00"/>
    <n v="0"/>
    <n v="4"/>
    <x v="0"/>
    <n v="12"/>
    <s v="10+ Years"/>
    <x v="0"/>
  </r>
  <r>
    <s v="Strong, Caitrin"/>
    <n v="10241"/>
    <n v="1"/>
    <n v="1"/>
    <n v="0"/>
    <n v="1"/>
    <n v="6"/>
    <n v="3"/>
    <n v="0"/>
    <n v="60120"/>
    <n v="0"/>
    <n v="3"/>
    <x v="11"/>
    <s v="MT"/>
    <n v="59102"/>
    <d v="1989-05-12T00:00:00"/>
    <x v="1"/>
    <s v="Married"/>
    <s v="US Citizen"/>
    <s v="No"/>
    <s v="Black or African American"/>
    <d v="2010-09-27T00:00:00"/>
    <m/>
    <s v="N/A-StillEmployed"/>
    <x v="0"/>
    <x v="4"/>
    <s v="John Smith"/>
    <n v="17"/>
    <s v="Indeed"/>
    <x v="1"/>
    <n v="4.0999999999999996"/>
    <n v="4"/>
    <n v="0"/>
    <d v="2019-01-31T00:00:00"/>
    <n v="0"/>
    <n v="18"/>
    <x v="0"/>
    <n v="15"/>
    <s v="10+ Years"/>
    <x v="2"/>
  </r>
  <r>
    <s v="Sullivan, Kissy "/>
    <n v="10158"/>
    <n v="1"/>
    <n v="1"/>
    <n v="0"/>
    <n v="1"/>
    <n v="5"/>
    <n v="3"/>
    <n v="0"/>
    <n v="63682"/>
    <n v="0"/>
    <n v="18"/>
    <x v="9"/>
    <s v="MA"/>
    <n v="1776"/>
    <d v="1978-03-28T00:00:00"/>
    <x v="1"/>
    <s v="Married"/>
    <s v="US Citizen"/>
    <s v="No"/>
    <s v="Black or African American"/>
    <d v="2009-01-08T00:00:00"/>
    <m/>
    <s v="N/A-StillEmployed"/>
    <x v="0"/>
    <x v="0"/>
    <s v="Janet King"/>
    <n v="2"/>
    <s v="Indeed"/>
    <x v="1"/>
    <n v="3.73"/>
    <n v="4"/>
    <n v="0"/>
    <d v="2019-01-24T00:00:00"/>
    <n v="0"/>
    <n v="12"/>
    <x v="0"/>
    <n v="17"/>
    <s v="10+ Years"/>
    <x v="2"/>
  </r>
  <r>
    <s v="Sullivan, Timothy"/>
    <n v="10117"/>
    <n v="1"/>
    <n v="1"/>
    <n v="1"/>
    <n v="1"/>
    <n v="5"/>
    <n v="3"/>
    <n v="0"/>
    <n v="63025"/>
    <n v="0"/>
    <n v="19"/>
    <x v="0"/>
    <s v="MA"/>
    <n v="2747"/>
    <d v="1982-10-07T00:00:00"/>
    <x v="0"/>
    <s v="Married"/>
    <s v="US Citizen"/>
    <s v="Yes"/>
    <s v="White"/>
    <d v="2015-01-05T00:00:00"/>
    <m/>
    <s v="N/A-StillEmployed"/>
    <x v="0"/>
    <x v="0"/>
    <s v="Michael Albert"/>
    <n v="22"/>
    <s v="Google Search"/>
    <x v="1"/>
    <n v="4.3600000000000003"/>
    <n v="5"/>
    <n v="0"/>
    <d v="2019-01-24T00:00:00"/>
    <n v="0"/>
    <n v="10"/>
    <x v="0"/>
    <n v="11"/>
    <s v="10+ Years"/>
    <x v="0"/>
  </r>
  <r>
    <s v="Sutwell, Barbara"/>
    <n v="10209"/>
    <n v="0"/>
    <n v="0"/>
    <n v="0"/>
    <n v="1"/>
    <n v="5"/>
    <n v="3"/>
    <n v="0"/>
    <n v="59238"/>
    <n v="0"/>
    <n v="19"/>
    <x v="0"/>
    <s v="MA"/>
    <n v="2718"/>
    <d v="1968-08-15T00:00:00"/>
    <x v="1"/>
    <s v="Single"/>
    <s v="Eligible NonCitizen"/>
    <s v="No"/>
    <s v="Asian"/>
    <d v="2012-05-14T00:00:00"/>
    <m/>
    <s v="N/A-StillEmployed"/>
    <x v="0"/>
    <x v="0"/>
    <s v="Elijiah Gray"/>
    <n v="16"/>
    <s v="Indeed"/>
    <x v="1"/>
    <n v="3.4"/>
    <n v="5"/>
    <n v="0"/>
    <d v="2019-01-31T00:00:00"/>
    <n v="0"/>
    <n v="13"/>
    <x v="0"/>
    <n v="13"/>
    <s v="10+ Years"/>
    <x v="0"/>
  </r>
  <r>
    <s v="Szabo, Andrew"/>
    <n v="10024"/>
    <n v="0"/>
    <n v="0"/>
    <n v="1"/>
    <n v="1"/>
    <n v="4"/>
    <n v="4"/>
    <n v="0"/>
    <n v="92989"/>
    <n v="0"/>
    <n v="24"/>
    <x v="3"/>
    <s v="MA"/>
    <n v="2140"/>
    <d v="1983-05-06T00:00:00"/>
    <x v="0"/>
    <s v="Single"/>
    <s v="US Citizen"/>
    <s v="No"/>
    <s v="White"/>
    <d v="2014-07-07T00:00:00"/>
    <m/>
    <s v="N/A-StillEmployed"/>
    <x v="0"/>
    <x v="2"/>
    <s v="Alex Sweetwater"/>
    <n v="10"/>
    <s v="LinkedIn"/>
    <x v="0"/>
    <n v="4.5"/>
    <n v="5"/>
    <n v="5"/>
    <d v="2019-02-18T00:00:00"/>
    <n v="0"/>
    <n v="1"/>
    <x v="1"/>
    <n v="11"/>
    <s v="10+ Years"/>
    <x v="1"/>
  </r>
  <r>
    <s v="Tannen, Biff"/>
    <n v="10173"/>
    <n v="1"/>
    <n v="1"/>
    <n v="1"/>
    <n v="1"/>
    <n v="3"/>
    <n v="3"/>
    <n v="0"/>
    <n v="90100"/>
    <n v="0"/>
    <n v="4"/>
    <x v="17"/>
    <s v="MA"/>
    <n v="2134"/>
    <d v="1987-10-24T00:00:00"/>
    <x v="0"/>
    <s v="Married"/>
    <s v="US Citizen"/>
    <s v="No"/>
    <s v="White"/>
    <d v="2017-04-20T00:00:00"/>
    <m/>
    <s v="N/A-StillEmployed"/>
    <x v="0"/>
    <x v="1"/>
    <s v="Brian Champaigne"/>
    <n v="13"/>
    <s v="Indeed"/>
    <x v="1"/>
    <n v="3.4"/>
    <n v="3"/>
    <n v="6"/>
    <d v="2019-01-02T00:00:00"/>
    <n v="0"/>
    <n v="14"/>
    <x v="1"/>
    <n v="9"/>
    <s v="5-10 Years"/>
    <x v="1"/>
  </r>
  <r>
    <s v="Tavares, Desiree  "/>
    <n v="10221"/>
    <n v="1"/>
    <n v="1"/>
    <n v="0"/>
    <n v="5"/>
    <n v="5"/>
    <n v="3"/>
    <n v="1"/>
    <n v="60754"/>
    <n v="1"/>
    <n v="19"/>
    <x v="0"/>
    <s v="MA"/>
    <n v="1801"/>
    <d v="1975-04-03T00:00:00"/>
    <x v="1"/>
    <s v="Married"/>
    <s v="Non-Citizen"/>
    <s v="No"/>
    <s v="Black or African American"/>
    <d v="2009-04-27T00:00:00"/>
    <d v="2013-04-01T00:00:00"/>
    <s v="Another position"/>
    <x v="1"/>
    <x v="0"/>
    <s v="Webster Butler"/>
    <n v="39"/>
    <s v="Diversity Job Fair"/>
    <x v="1"/>
    <n v="4.5"/>
    <n v="5"/>
    <n v="0"/>
    <d v="2012-02-15T00:00:00"/>
    <n v="0"/>
    <n v="11"/>
    <x v="0"/>
    <n v="3"/>
    <s v="2-5 Years"/>
    <x v="0"/>
  </r>
  <r>
    <s v="Tejeda, Lenora "/>
    <n v="10146"/>
    <n v="1"/>
    <n v="1"/>
    <n v="0"/>
    <n v="5"/>
    <n v="5"/>
    <n v="3"/>
    <n v="0"/>
    <n v="72202"/>
    <n v="1"/>
    <n v="20"/>
    <x v="2"/>
    <s v="MA"/>
    <n v="2129"/>
    <d v="1953-05-24T00:00:00"/>
    <x v="1"/>
    <s v="Married"/>
    <s v="US Citizen"/>
    <s v="No"/>
    <s v="White"/>
    <d v="2011-05-16T00:00:00"/>
    <d v="2017-07-08T00:00:00"/>
    <s v="Another position"/>
    <x v="1"/>
    <x v="0"/>
    <s v="Elijiah Gray"/>
    <n v="16"/>
    <s v="Google Search"/>
    <x v="1"/>
    <n v="3.93"/>
    <n v="3"/>
    <n v="0"/>
    <d v="2017-04-18T00:00:00"/>
    <n v="0"/>
    <n v="3"/>
    <x v="0"/>
    <n v="6"/>
    <s v="5-10 Years"/>
    <x v="0"/>
  </r>
  <r>
    <s v="Terry, Sharlene "/>
    <n v="10161"/>
    <n v="0"/>
    <n v="0"/>
    <n v="0"/>
    <n v="1"/>
    <n v="6"/>
    <n v="3"/>
    <n v="0"/>
    <n v="58370"/>
    <n v="0"/>
    <n v="3"/>
    <x v="11"/>
    <s v="OR"/>
    <n v="97756"/>
    <d v="1965-05-07T00:00:00"/>
    <x v="1"/>
    <s v="Single"/>
    <s v="US Citizen"/>
    <s v="No"/>
    <s v="Black or African American"/>
    <d v="2014-09-29T00:00:00"/>
    <m/>
    <s v="N/A-StillEmployed"/>
    <x v="0"/>
    <x v="4"/>
    <s v="Lynn Daneault"/>
    <n v="21"/>
    <s v="Indeed"/>
    <x v="1"/>
    <n v="3.69"/>
    <n v="3"/>
    <n v="0"/>
    <d v="2019-01-28T00:00:00"/>
    <n v="0"/>
    <n v="18"/>
    <x v="0"/>
    <n v="11"/>
    <s v="10+ Years"/>
    <x v="2"/>
  </r>
  <r>
    <s v="Theamstern, Sophia"/>
    <n v="10141"/>
    <n v="0"/>
    <n v="0"/>
    <n v="0"/>
    <n v="5"/>
    <n v="5"/>
    <n v="3"/>
    <n v="0"/>
    <n v="48413"/>
    <n v="1"/>
    <n v="19"/>
    <x v="0"/>
    <s v="MA"/>
    <n v="2066"/>
    <d v="1965-05-09T00:00:00"/>
    <x v="1"/>
    <s v="Single"/>
    <s v="US Citizen"/>
    <s v="No"/>
    <s v="White"/>
    <d v="2011-07-05T00:00:00"/>
    <d v="2016-09-05T00:00:00"/>
    <s v="return to school"/>
    <x v="1"/>
    <x v="0"/>
    <s v="Amy Dunn"/>
    <n v="11"/>
    <s v="Indeed"/>
    <x v="1"/>
    <n v="3.98"/>
    <n v="4"/>
    <n v="0"/>
    <d v="2016-03-02T00:00:00"/>
    <n v="0"/>
    <n v="1"/>
    <x v="0"/>
    <n v="5"/>
    <s v="5-10 Years"/>
    <x v="0"/>
  </r>
  <r>
    <s v="Thibaud, Kenneth"/>
    <n v="10268"/>
    <n v="0"/>
    <n v="4"/>
    <n v="1"/>
    <n v="5"/>
    <n v="5"/>
    <n v="3"/>
    <n v="0"/>
    <n v="67176"/>
    <n v="1"/>
    <n v="20"/>
    <x v="2"/>
    <s v="MA"/>
    <n v="2472"/>
    <d v="1975-09-16T00:00:00"/>
    <x v="0"/>
    <s v="Widowed"/>
    <s v="US Citizen"/>
    <s v="No"/>
    <s v="White"/>
    <d v="2007-06-25T00:00:00"/>
    <d v="2010-08-30T00:00:00"/>
    <s v="military"/>
    <x v="1"/>
    <x v="0"/>
    <s v="Webster Butler"/>
    <n v="39"/>
    <s v="Other"/>
    <x v="1"/>
    <n v="4.0999999999999996"/>
    <n v="4"/>
    <n v="0"/>
    <d v="2010-07-14T00:00:00"/>
    <n v="0"/>
    <n v="15"/>
    <x v="0"/>
    <n v="3"/>
    <s v="2-5 Years"/>
    <x v="0"/>
  </r>
  <r>
    <s v="Tippett, Jeanette"/>
    <n v="10123"/>
    <n v="0"/>
    <n v="2"/>
    <n v="0"/>
    <n v="1"/>
    <n v="5"/>
    <n v="3"/>
    <n v="0"/>
    <n v="56339"/>
    <n v="0"/>
    <n v="19"/>
    <x v="0"/>
    <s v="MA"/>
    <n v="2093"/>
    <d v="1967-06-05T00:00:00"/>
    <x v="1"/>
    <s v="Divorced"/>
    <s v="US Citizen"/>
    <s v="No"/>
    <s v="Black or African American"/>
    <d v="2013-02-18T00:00:00"/>
    <m/>
    <s v="N/A-StillEmployed"/>
    <x v="0"/>
    <x v="0"/>
    <s v="Brannon Miller"/>
    <n v="12"/>
    <s v="Indeed"/>
    <x v="1"/>
    <n v="4.21"/>
    <n v="5"/>
    <n v="0"/>
    <d v="2019-01-14T00:00:00"/>
    <n v="0"/>
    <n v="4"/>
    <x v="0"/>
    <n v="13"/>
    <s v="10+ Years"/>
    <x v="0"/>
  </r>
  <r>
    <s v="Torrence, Jack"/>
    <n v="10013"/>
    <n v="0"/>
    <n v="3"/>
    <n v="1"/>
    <n v="1"/>
    <n v="6"/>
    <n v="4"/>
    <n v="0"/>
    <n v="64397"/>
    <n v="0"/>
    <n v="3"/>
    <x v="11"/>
    <s v="ND"/>
    <n v="58782"/>
    <d v="1968-01-15T00:00:00"/>
    <x v="0"/>
    <s v="Separated"/>
    <s v="US Citizen"/>
    <s v="No"/>
    <s v="White"/>
    <d v="2006-01-09T00:00:00"/>
    <m/>
    <s v="N/A-StillEmployed"/>
    <x v="0"/>
    <x v="4"/>
    <s v="Lynn Daneault"/>
    <n v="21"/>
    <s v="Indeed"/>
    <x v="0"/>
    <n v="4.0999999999999996"/>
    <n v="3"/>
    <n v="0"/>
    <d v="2019-01-04T00:00:00"/>
    <n v="0"/>
    <n v="6"/>
    <x v="0"/>
    <n v="20"/>
    <s v="10+ Years"/>
    <x v="2"/>
  </r>
  <r>
    <s v="Trang, Mei"/>
    <n v="10287"/>
    <n v="0"/>
    <n v="0"/>
    <n v="0"/>
    <n v="1"/>
    <n v="5"/>
    <n v="2"/>
    <n v="0"/>
    <n v="63025"/>
    <n v="0"/>
    <n v="19"/>
    <x v="0"/>
    <s v="MA"/>
    <n v="2021"/>
    <d v="1983-05-16T00:00:00"/>
    <x v="1"/>
    <s v="Single"/>
    <s v="US Citizen"/>
    <s v="No"/>
    <s v="White"/>
    <d v="2014-02-17T00:00:00"/>
    <m/>
    <s v="N/A-StillEmployed"/>
    <x v="0"/>
    <x v="0"/>
    <s v="David Stanley"/>
    <n v="14"/>
    <s v="LinkedIn"/>
    <x v="2"/>
    <n v="2.44"/>
    <n v="5"/>
    <n v="0"/>
    <d v="2019-02-11T00:00:00"/>
    <n v="4"/>
    <n v="18"/>
    <x v="0"/>
    <n v="12"/>
    <s v="10+ Years"/>
    <x v="0"/>
  </r>
  <r>
    <s v="Tredinnick, Neville "/>
    <n v="10044"/>
    <n v="1"/>
    <n v="1"/>
    <n v="1"/>
    <n v="5"/>
    <n v="3"/>
    <n v="3"/>
    <n v="0"/>
    <n v="75281"/>
    <n v="1"/>
    <n v="15"/>
    <x v="19"/>
    <s v="MA"/>
    <n v="1420"/>
    <d v="1988-05-05T00:00:00"/>
    <x v="0"/>
    <s v="Married"/>
    <s v="US Citizen"/>
    <s v="No"/>
    <s v="White"/>
    <d v="2015-01-05T00:00:00"/>
    <d v="2016-02-12T00:00:00"/>
    <s v="medical issues"/>
    <x v="1"/>
    <x v="1"/>
    <s v="Peter Monroe"/>
    <n v="7"/>
    <s v="CareerBuilder"/>
    <x v="1"/>
    <n v="5"/>
    <n v="3"/>
    <n v="5"/>
    <d v="2015-04-15T00:00:00"/>
    <n v="0"/>
    <n v="11"/>
    <x v="1"/>
    <n v="1"/>
    <s v="0-2 Years"/>
    <x v="1"/>
  </r>
  <r>
    <s v="True, Edward"/>
    <n v="10102"/>
    <n v="0"/>
    <n v="0"/>
    <n v="1"/>
    <n v="5"/>
    <n v="4"/>
    <n v="3"/>
    <n v="1"/>
    <n v="100416"/>
    <n v="1"/>
    <n v="24"/>
    <x v="3"/>
    <s v="MA"/>
    <n v="2451"/>
    <d v="1983-06-14T00:00:00"/>
    <x v="0"/>
    <s v="Single"/>
    <s v="Non-Citizen"/>
    <s v="No"/>
    <s v="Black or African American"/>
    <d v="2013-02-18T00:00:00"/>
    <d v="2018-04-15T00:00:00"/>
    <s v="medical issues"/>
    <x v="1"/>
    <x v="2"/>
    <s v="Alex Sweetwater"/>
    <n v="10"/>
    <s v="Diversity Job Fair"/>
    <x v="1"/>
    <n v="4.5999999999999996"/>
    <n v="3"/>
    <n v="4"/>
    <d v="2017-02-12T00:00:00"/>
    <n v="0"/>
    <n v="9"/>
    <x v="1"/>
    <n v="5"/>
    <s v="5-10 Years"/>
    <x v="1"/>
  </r>
  <r>
    <s v="Trzeciak, Cybil"/>
    <n v="10270"/>
    <n v="0"/>
    <n v="0"/>
    <n v="0"/>
    <n v="5"/>
    <n v="5"/>
    <n v="3"/>
    <n v="0"/>
    <n v="74813"/>
    <n v="1"/>
    <n v="20"/>
    <x v="2"/>
    <s v="MA"/>
    <n v="1778"/>
    <d v="1985-03-15T00:00:00"/>
    <x v="1"/>
    <s v="Single"/>
    <s v="US Citizen"/>
    <s v="No"/>
    <s v="White"/>
    <d v="2011-01-10T00:00:00"/>
    <d v="2014-07-02T00:00:00"/>
    <s v="unhappy"/>
    <x v="1"/>
    <x v="0"/>
    <s v="Amy Dunn"/>
    <n v="11"/>
    <s v="LinkedIn"/>
    <x v="1"/>
    <n v="4.4000000000000004"/>
    <n v="3"/>
    <n v="0"/>
    <d v="2014-01-05T00:00:00"/>
    <n v="0"/>
    <n v="5"/>
    <x v="0"/>
    <n v="3"/>
    <s v="2-5 Years"/>
    <x v="0"/>
  </r>
  <r>
    <s v="Turpin, Jumil"/>
    <n v="10045"/>
    <n v="1"/>
    <n v="1"/>
    <n v="1"/>
    <n v="1"/>
    <n v="3"/>
    <n v="3"/>
    <n v="0"/>
    <n v="76029"/>
    <n v="0"/>
    <n v="15"/>
    <x v="19"/>
    <s v="MA"/>
    <n v="2343"/>
    <d v="1969-03-31T00:00:00"/>
    <x v="0"/>
    <s v="Married"/>
    <s v="Eligible NonCitizen"/>
    <s v="No"/>
    <s v="White"/>
    <d v="2015-03-30T00:00:00"/>
    <m/>
    <s v="N/A-StillEmployed"/>
    <x v="0"/>
    <x v="1"/>
    <s v="Peter Monroe"/>
    <n v="7"/>
    <s v="Employee Referral"/>
    <x v="1"/>
    <n v="5"/>
    <n v="4"/>
    <n v="7"/>
    <d v="2019-01-14T00:00:00"/>
    <n v="0"/>
    <n v="8"/>
    <x v="1"/>
    <n v="11"/>
    <s v="10+ Years"/>
    <x v="1"/>
  </r>
  <r>
    <s v="Valentin,Jackie"/>
    <n v="10205"/>
    <n v="1"/>
    <n v="1"/>
    <n v="0"/>
    <n v="1"/>
    <n v="6"/>
    <n v="3"/>
    <n v="0"/>
    <n v="57859"/>
    <n v="0"/>
    <n v="3"/>
    <x v="11"/>
    <s v="AZ"/>
    <n v="85006"/>
    <d v="1991-05-23T00:00:00"/>
    <x v="1"/>
    <s v="Married"/>
    <s v="US Citizen"/>
    <s v="No"/>
    <s v="Two or more races"/>
    <d v="2011-07-05T00:00:00"/>
    <m/>
    <s v="N/A-StillEmployed"/>
    <x v="0"/>
    <x v="4"/>
    <s v="John Smith"/>
    <n v="17"/>
    <s v="Indeed"/>
    <x v="1"/>
    <n v="2.81"/>
    <n v="3"/>
    <n v="0"/>
    <d v="2019-01-17T00:00:00"/>
    <n v="0"/>
    <n v="16"/>
    <x v="0"/>
    <n v="14"/>
    <s v="10+ Years"/>
    <x v="2"/>
  </r>
  <r>
    <s v="Veera, Abdellah "/>
    <n v="10014"/>
    <n v="0"/>
    <n v="2"/>
    <n v="1"/>
    <n v="5"/>
    <n v="5"/>
    <n v="4"/>
    <n v="0"/>
    <n v="58523"/>
    <n v="1"/>
    <n v="19"/>
    <x v="0"/>
    <s v="MA"/>
    <n v="2171"/>
    <d v="1987-01-31T00:00:00"/>
    <x v="0"/>
    <s v="Divorced"/>
    <s v="US Citizen"/>
    <s v="No"/>
    <s v="White"/>
    <d v="2012-08-13T00:00:00"/>
    <d v="2016-02-05T00:00:00"/>
    <s v="maternity leave - did not return"/>
    <x v="1"/>
    <x v="0"/>
    <s v="Kissy Sullivan"/>
    <n v="20"/>
    <s v="LinkedIn"/>
    <x v="0"/>
    <n v="4.5"/>
    <n v="5"/>
    <n v="0"/>
    <d v="2016-02-01T00:00:00"/>
    <n v="0"/>
    <n v="15"/>
    <x v="0"/>
    <n v="3"/>
    <s v="2-5 Years"/>
    <x v="0"/>
  </r>
  <r>
    <s v="Vega, Vincent"/>
    <n v="10144"/>
    <n v="0"/>
    <n v="2"/>
    <n v="1"/>
    <n v="1"/>
    <n v="5"/>
    <n v="3"/>
    <n v="0"/>
    <n v="88976"/>
    <n v="0"/>
    <n v="17"/>
    <x v="9"/>
    <s v="MA"/>
    <n v="2169"/>
    <d v="1968-10-10T00:00:00"/>
    <x v="0"/>
    <s v="Divorced"/>
    <s v="US Citizen"/>
    <s v="No"/>
    <s v="White"/>
    <d v="2011-08-01T00:00:00"/>
    <m/>
    <s v="N/A-StillEmployed"/>
    <x v="0"/>
    <x v="0"/>
    <s v="Janet King"/>
    <n v="2"/>
    <s v="Employee Referral"/>
    <x v="1"/>
    <n v="3.93"/>
    <n v="3"/>
    <n v="0"/>
    <d v="2019-02-27T00:00:00"/>
    <n v="0"/>
    <n v="19"/>
    <x v="0"/>
    <n v="14"/>
    <s v="10+ Years"/>
    <x v="2"/>
  </r>
  <r>
    <s v="Villanueva, Noah"/>
    <n v="10253"/>
    <n v="0"/>
    <n v="0"/>
    <n v="1"/>
    <n v="1"/>
    <n v="6"/>
    <n v="3"/>
    <n v="0"/>
    <n v="55875"/>
    <n v="0"/>
    <n v="3"/>
    <x v="11"/>
    <s v="ME"/>
    <n v="4063"/>
    <d v="1989-07-11T00:00:00"/>
    <x v="0"/>
    <s v="Single"/>
    <s v="US Citizen"/>
    <s v="No"/>
    <s v="Asian"/>
    <d v="2012-03-05T00:00:00"/>
    <m/>
    <s v="N/A-StillEmployed"/>
    <x v="0"/>
    <x v="4"/>
    <s v="John Smith"/>
    <n v="17"/>
    <s v="Website"/>
    <x v="1"/>
    <n v="4.5"/>
    <n v="4"/>
    <n v="0"/>
    <d v="2019-01-18T00:00:00"/>
    <n v="0"/>
    <n v="11"/>
    <x v="0"/>
    <n v="14"/>
    <s v="10+ Years"/>
    <x v="2"/>
  </r>
  <r>
    <s v="Voldemort, Lord"/>
    <n v="10118"/>
    <n v="1"/>
    <n v="1"/>
    <n v="1"/>
    <n v="4"/>
    <n v="3"/>
    <n v="3"/>
    <n v="0"/>
    <n v="113999"/>
    <n v="1"/>
    <n v="8"/>
    <x v="6"/>
    <s v="MA"/>
    <n v="1960"/>
    <d v="1986-08-07T00:00:00"/>
    <x v="0"/>
    <s v="Married"/>
    <s v="US Citizen"/>
    <s v="No"/>
    <s v="Black or African American"/>
    <d v="2015-02-16T00:00:00"/>
    <d v="2017-02-22T00:00:00"/>
    <s v="no-call, no-show"/>
    <x v="2"/>
    <x v="1"/>
    <s v="Simon Roup"/>
    <n v="4"/>
    <s v="Employee Referral"/>
    <x v="1"/>
    <n v="4.33"/>
    <n v="3"/>
    <n v="7"/>
    <d v="2017-02-15T00:00:00"/>
    <n v="0"/>
    <n v="9"/>
    <x v="1"/>
    <n v="2"/>
    <s v="2-5 Years"/>
    <x v="1"/>
  </r>
  <r>
    <s v="Volk, Colleen"/>
    <n v="10022"/>
    <n v="1"/>
    <n v="1"/>
    <n v="0"/>
    <n v="4"/>
    <n v="5"/>
    <n v="4"/>
    <n v="0"/>
    <n v="49773"/>
    <n v="1"/>
    <n v="19"/>
    <x v="0"/>
    <s v="MA"/>
    <n v="2747"/>
    <d v="1986-06-03T00:00:00"/>
    <x v="1"/>
    <s v="Married"/>
    <s v="US Citizen"/>
    <s v="No"/>
    <s v="White"/>
    <d v="2011-09-26T00:00:00"/>
    <d v="2016-02-08T00:00:00"/>
    <s v="gross misconduct"/>
    <x v="2"/>
    <x v="0"/>
    <s v="Kelley Spirea"/>
    <n v="18"/>
    <s v="Google Search"/>
    <x v="0"/>
    <n v="4.3"/>
    <n v="5"/>
    <n v="0"/>
    <d v="2015-02-01T00:00:00"/>
    <n v="0"/>
    <n v="18"/>
    <x v="0"/>
    <n v="4"/>
    <s v="2-5 Years"/>
    <x v="0"/>
  </r>
  <r>
    <s v="Von Massenbach, Anna"/>
    <n v="10183"/>
    <n v="0"/>
    <n v="0"/>
    <n v="0"/>
    <n v="2"/>
    <n v="5"/>
    <n v="3"/>
    <n v="0"/>
    <n v="62068"/>
    <n v="0"/>
    <n v="19"/>
    <x v="0"/>
    <s v="MA"/>
    <n v="2124"/>
    <d v="1985-04-06T00:00:00"/>
    <x v="1"/>
    <s v="Single"/>
    <s v="US Citizen"/>
    <s v="No"/>
    <s v="White"/>
    <d v="2015-07-05T00:00:00"/>
    <m/>
    <s v="N/A-StillEmployed"/>
    <x v="0"/>
    <x v="0"/>
    <s v="Michael Albert"/>
    <n v="22"/>
    <s v="LinkedIn"/>
    <x v="1"/>
    <n v="3.21"/>
    <n v="3"/>
    <n v="0"/>
    <d v="2019-01-29T00:00:00"/>
    <n v="0"/>
    <n v="7"/>
    <x v="0"/>
    <n v="10"/>
    <s v="10+ Years"/>
    <x v="0"/>
  </r>
  <r>
    <s v="Walker, Roger"/>
    <n v="10190"/>
    <n v="0"/>
    <n v="0"/>
    <n v="1"/>
    <n v="1"/>
    <n v="5"/>
    <n v="3"/>
    <n v="0"/>
    <n v="66541"/>
    <n v="0"/>
    <n v="20"/>
    <x v="2"/>
    <s v="MA"/>
    <n v="2459"/>
    <d v="1976-02-10T00:00:00"/>
    <x v="0"/>
    <s v="Single"/>
    <s v="US Citizen"/>
    <s v="No"/>
    <s v="Black or African American"/>
    <d v="2014-08-18T00:00:00"/>
    <m/>
    <s v="N/A-StillEmployed"/>
    <x v="0"/>
    <x v="0"/>
    <s v="Ketsia Liebig"/>
    <n v="19"/>
    <s v="Employee Referral"/>
    <x v="1"/>
    <n v="3.11"/>
    <n v="5"/>
    <n v="0"/>
    <d v="2019-02-12T00:00:00"/>
    <n v="0"/>
    <n v="4"/>
    <x v="0"/>
    <n v="11"/>
    <s v="10+ Years"/>
    <x v="0"/>
  </r>
  <r>
    <s v="Wallace, Courtney  E"/>
    <n v="10274"/>
    <n v="1"/>
    <n v="1"/>
    <n v="0"/>
    <n v="5"/>
    <n v="5"/>
    <n v="3"/>
    <n v="1"/>
    <n v="80512"/>
    <n v="1"/>
    <n v="18"/>
    <x v="9"/>
    <s v="MA"/>
    <n v="2478"/>
    <d v="1955-11-14T00:00:00"/>
    <x v="1"/>
    <s v="Married"/>
    <s v="US Citizen"/>
    <s v="No"/>
    <s v="Black or African American"/>
    <d v="2011-09-26T00:00:00"/>
    <d v="2012-01-02T00:00:00"/>
    <s v="Another position"/>
    <x v="1"/>
    <x v="0"/>
    <s v="Janet King"/>
    <n v="2"/>
    <s v="Diversity Job Fair"/>
    <x v="1"/>
    <n v="4.5"/>
    <n v="3"/>
    <n v="0"/>
    <d v="2012-01-02T00:00:00"/>
    <n v="0"/>
    <n v="5"/>
    <x v="0"/>
    <n v="0"/>
    <s v="0-2 Years"/>
    <x v="2"/>
  </r>
  <r>
    <s v="Wallace, Theresa"/>
    <n v="10293"/>
    <n v="0"/>
    <n v="0"/>
    <n v="0"/>
    <n v="5"/>
    <n v="5"/>
    <n v="2"/>
    <n v="0"/>
    <n v="50274"/>
    <n v="1"/>
    <n v="19"/>
    <x v="0"/>
    <s v="MA"/>
    <n v="1887"/>
    <d v="1980-08-02T00:00:00"/>
    <x v="1"/>
    <s v="Single"/>
    <s v="US Citizen"/>
    <s v="No"/>
    <s v="White"/>
    <d v="2012-08-13T00:00:00"/>
    <d v="2015-09-01T00:00:00"/>
    <s v="career change"/>
    <x v="1"/>
    <x v="0"/>
    <s v="Elijiah Gray"/>
    <n v="16"/>
    <s v="CareerBuilder"/>
    <x v="2"/>
    <n v="2.5"/>
    <n v="3"/>
    <n v="0"/>
    <d v="2014-09-05T00:00:00"/>
    <n v="6"/>
    <n v="13"/>
    <x v="0"/>
    <n v="3"/>
    <s v="2-5 Years"/>
    <x v="0"/>
  </r>
  <r>
    <s v="Wang, Charlie"/>
    <n v="10172"/>
    <n v="0"/>
    <n v="0"/>
    <n v="1"/>
    <n v="1"/>
    <n v="3"/>
    <n v="3"/>
    <n v="0"/>
    <n v="84903"/>
    <n v="0"/>
    <n v="22"/>
    <x v="24"/>
    <s v="MA"/>
    <n v="1887"/>
    <d v="1981-07-08T00:00:00"/>
    <x v="0"/>
    <s v="Single"/>
    <s v="US Citizen"/>
    <s v="No"/>
    <s v="Asian"/>
    <d v="2017-02-15T00:00:00"/>
    <m/>
    <s v="N/A-StillEmployed"/>
    <x v="0"/>
    <x v="1"/>
    <s v="Brian Champaigne"/>
    <n v="13"/>
    <s v="Indeed"/>
    <x v="1"/>
    <n v="3.42"/>
    <n v="4"/>
    <n v="7"/>
    <d v="2019-01-04T00:00:00"/>
    <n v="0"/>
    <n v="17"/>
    <x v="1"/>
    <n v="9"/>
    <s v="5-10 Years"/>
    <x v="1"/>
  </r>
  <r>
    <s v="Warfield, Sarah"/>
    <n v="10127"/>
    <n v="0"/>
    <n v="4"/>
    <n v="0"/>
    <n v="1"/>
    <n v="3"/>
    <n v="3"/>
    <n v="0"/>
    <n v="107226"/>
    <n v="0"/>
    <n v="28"/>
    <x v="15"/>
    <s v="MA"/>
    <n v="2453"/>
    <d v="1978-05-02T00:00:00"/>
    <x v="1"/>
    <s v="Widowed"/>
    <s v="US Citizen"/>
    <s v="No"/>
    <s v="Asian"/>
    <d v="2015-03-30T00:00:00"/>
    <m/>
    <s v="N/A-StillEmployed"/>
    <x v="0"/>
    <x v="1"/>
    <s v="Peter Monroe"/>
    <n v="7"/>
    <s v="Employee Referral"/>
    <x v="1"/>
    <n v="4.2"/>
    <n v="4"/>
    <n v="8"/>
    <d v="2019-02-05T00:00:00"/>
    <n v="0"/>
    <n v="7"/>
    <x v="1"/>
    <n v="11"/>
    <s v="10+ Years"/>
    <x v="1"/>
  </r>
  <r>
    <s v="Whittier, Scott"/>
    <n v="10072"/>
    <n v="0"/>
    <n v="0"/>
    <n v="1"/>
    <n v="5"/>
    <n v="5"/>
    <n v="3"/>
    <n v="0"/>
    <n v="58371"/>
    <n v="1"/>
    <n v="19"/>
    <x v="0"/>
    <s v="MA"/>
    <n v="2030"/>
    <d v="1987-05-24T00:00:00"/>
    <x v="0"/>
    <s v="Single"/>
    <s v="US Citizen"/>
    <s v="Yes"/>
    <s v="White"/>
    <d v="2011-01-10T00:00:00"/>
    <d v="2014-05-15T00:00:00"/>
    <s v="hours"/>
    <x v="1"/>
    <x v="0"/>
    <s v="Webster Butler"/>
    <n v="39"/>
    <s v="LinkedIn"/>
    <x v="1"/>
    <n v="5"/>
    <n v="5"/>
    <n v="0"/>
    <d v="2014-05-15T00:00:00"/>
    <n v="0"/>
    <n v="11"/>
    <x v="0"/>
    <n v="3"/>
    <s v="2-5 Years"/>
    <x v="0"/>
  </r>
  <r>
    <s v="Wilber, Barry"/>
    <n v="10048"/>
    <n v="1"/>
    <n v="1"/>
    <n v="1"/>
    <n v="5"/>
    <n v="5"/>
    <n v="3"/>
    <n v="0"/>
    <n v="55140"/>
    <n v="1"/>
    <n v="19"/>
    <x v="0"/>
    <s v="MA"/>
    <n v="2324"/>
    <d v="1965-09-09T00:00:00"/>
    <x v="0"/>
    <s v="Married"/>
    <s v="Eligible NonCitizen"/>
    <s v="No"/>
    <s v="White"/>
    <d v="2011-05-16T00:00:00"/>
    <d v="2015-09-07T00:00:00"/>
    <s v="unhappy"/>
    <x v="1"/>
    <x v="0"/>
    <s v="Amy Dunn"/>
    <n v="11"/>
    <s v="Website"/>
    <x v="1"/>
    <n v="5"/>
    <n v="3"/>
    <n v="0"/>
    <d v="2015-02-15T00:00:00"/>
    <n v="0"/>
    <n v="7"/>
    <x v="0"/>
    <n v="4"/>
    <s v="2-5 Years"/>
    <x v="0"/>
  </r>
  <r>
    <s v="Wilkes, Annie"/>
    <n v="10204"/>
    <n v="0"/>
    <n v="2"/>
    <n v="0"/>
    <n v="5"/>
    <n v="5"/>
    <n v="3"/>
    <n v="0"/>
    <n v="58062"/>
    <n v="1"/>
    <n v="19"/>
    <x v="0"/>
    <s v="MA"/>
    <n v="1876"/>
    <d v="1983-07-30T00:00:00"/>
    <x v="1"/>
    <s v="Divorced"/>
    <s v="US Citizen"/>
    <s v="No"/>
    <s v="White"/>
    <d v="2011-01-10T00:00:00"/>
    <d v="2012-05-14T00:00:00"/>
    <s v="Another position"/>
    <x v="1"/>
    <x v="0"/>
    <s v="Ketsia Liebig"/>
    <n v="19"/>
    <s v="Google Search"/>
    <x v="1"/>
    <n v="3.6"/>
    <n v="5"/>
    <n v="0"/>
    <d v="2011-02-06T00:00:00"/>
    <n v="0"/>
    <n v="9"/>
    <x v="0"/>
    <n v="1"/>
    <s v="0-2 Years"/>
    <x v="0"/>
  </r>
  <r>
    <s v="Williams, Jacquelyn  "/>
    <n v="10264"/>
    <n v="0"/>
    <n v="0"/>
    <n v="0"/>
    <n v="5"/>
    <n v="5"/>
    <n v="3"/>
    <n v="1"/>
    <n v="59728"/>
    <n v="1"/>
    <n v="19"/>
    <x v="0"/>
    <s v="MA"/>
    <n v="2109"/>
    <d v="1969-10-02T00:00:00"/>
    <x v="1"/>
    <s v="Single"/>
    <s v="US Citizen"/>
    <s v="Yes"/>
    <s v="Black or African American"/>
    <d v="2012-01-09T00:00:00"/>
    <d v="2015-06-27T00:00:00"/>
    <s v="relocation out of area"/>
    <x v="1"/>
    <x v="0"/>
    <s v="Ketsia Liebig"/>
    <n v="19"/>
    <s v="Diversity Job Fair"/>
    <x v="1"/>
    <n v="4.3"/>
    <n v="4"/>
    <n v="0"/>
    <d v="2014-06-02T00:00:00"/>
    <n v="0"/>
    <n v="16"/>
    <x v="0"/>
    <n v="3"/>
    <s v="2-5 Years"/>
    <x v="0"/>
  </r>
  <r>
    <s v="Winthrop, Jordan  "/>
    <n v="10033"/>
    <n v="0"/>
    <n v="0"/>
    <n v="1"/>
    <n v="5"/>
    <n v="5"/>
    <n v="4"/>
    <n v="0"/>
    <n v="70507"/>
    <n v="1"/>
    <n v="20"/>
    <x v="2"/>
    <s v="MA"/>
    <n v="2045"/>
    <d v="1958-11-07T00:00:00"/>
    <x v="0"/>
    <s v="Single"/>
    <s v="US Citizen"/>
    <s v="No"/>
    <s v="White"/>
    <d v="2013-01-07T00:00:00"/>
    <d v="2016-02-21T00:00:00"/>
    <s v="retiring"/>
    <x v="1"/>
    <x v="0"/>
    <s v="Brannon Miller"/>
    <n v="12"/>
    <s v="LinkedIn"/>
    <x v="0"/>
    <n v="5"/>
    <n v="3"/>
    <n v="0"/>
    <d v="2016-01-19T00:00:00"/>
    <n v="0"/>
    <n v="7"/>
    <x v="0"/>
    <n v="3"/>
    <s v="2-5 Years"/>
    <x v="0"/>
  </r>
  <r>
    <s v="Wolk, Hang  T"/>
    <n v="10174"/>
    <n v="0"/>
    <n v="0"/>
    <n v="0"/>
    <n v="1"/>
    <n v="5"/>
    <n v="3"/>
    <n v="0"/>
    <n v="60446"/>
    <n v="0"/>
    <n v="20"/>
    <x v="2"/>
    <s v="MA"/>
    <n v="2302"/>
    <d v="1985-04-20T00:00:00"/>
    <x v="1"/>
    <s v="Single"/>
    <s v="US Citizen"/>
    <s v="No"/>
    <s v="White"/>
    <d v="2014-09-29T00:00:00"/>
    <m/>
    <s v="N/A-StillEmployed"/>
    <x v="0"/>
    <x v="0"/>
    <s v="David Stanley"/>
    <n v="14"/>
    <s v="LinkedIn"/>
    <x v="1"/>
    <n v="3.4"/>
    <n v="4"/>
    <n v="0"/>
    <d v="2019-02-21T00:00:00"/>
    <n v="0"/>
    <n v="14"/>
    <x v="0"/>
    <n v="11"/>
    <s v="10+ Years"/>
    <x v="0"/>
  </r>
  <r>
    <s v="Woodson, Jason"/>
    <n v="10135"/>
    <n v="0"/>
    <n v="0"/>
    <n v="1"/>
    <n v="1"/>
    <n v="5"/>
    <n v="3"/>
    <n v="0"/>
    <n v="65893"/>
    <n v="0"/>
    <n v="20"/>
    <x v="2"/>
    <s v="MA"/>
    <n v="1810"/>
    <d v="1985-05-11T00:00:00"/>
    <x v="0"/>
    <s v="Single"/>
    <s v="US Citizen"/>
    <s v="No"/>
    <s v="White"/>
    <d v="2014-07-07T00:00:00"/>
    <m/>
    <s v="N/A-StillEmployed"/>
    <x v="0"/>
    <x v="0"/>
    <s v="Kissy Sullivan"/>
    <n v="20"/>
    <s v="LinkedIn"/>
    <x v="1"/>
    <n v="4.07"/>
    <n v="4"/>
    <n v="0"/>
    <d v="2019-02-28T00:00:00"/>
    <n v="0"/>
    <n v="13"/>
    <x v="0"/>
    <n v="11"/>
    <s v="10+ Years"/>
    <x v="0"/>
  </r>
  <r>
    <s v="Ybarra, Catherine "/>
    <n v="10301"/>
    <n v="0"/>
    <n v="0"/>
    <n v="0"/>
    <n v="5"/>
    <n v="5"/>
    <n v="1"/>
    <n v="0"/>
    <n v="48513"/>
    <n v="1"/>
    <n v="19"/>
    <x v="0"/>
    <s v="MA"/>
    <n v="2458"/>
    <d v="1982-05-04T00:00:00"/>
    <x v="1"/>
    <s v="Single"/>
    <s v="US Citizen"/>
    <s v="No"/>
    <s v="Asian"/>
    <d v="2008-09-02T00:00:00"/>
    <d v="2015-09-29T00:00:00"/>
    <s v="Another position"/>
    <x v="1"/>
    <x v="0"/>
    <s v="Brannon Miller"/>
    <n v="12"/>
    <s v="Google Search"/>
    <x v="3"/>
    <n v="3.2"/>
    <n v="2"/>
    <n v="0"/>
    <d v="2015-09-02T00:00:00"/>
    <n v="5"/>
    <n v="4"/>
    <x v="0"/>
    <n v="7"/>
    <s v="5-10 Years"/>
    <x v="0"/>
  </r>
  <r>
    <s v="Zamora, Jennifer"/>
    <n v="10010"/>
    <n v="0"/>
    <n v="0"/>
    <n v="0"/>
    <n v="1"/>
    <n v="3"/>
    <n v="4"/>
    <n v="0"/>
    <n v="220450"/>
    <n v="0"/>
    <n v="6"/>
    <x v="31"/>
    <s v="MA"/>
    <n v="2067"/>
    <d v="1979-08-30T00:00:00"/>
    <x v="1"/>
    <s v="Single"/>
    <s v="US Citizen"/>
    <s v="No"/>
    <s v="White"/>
    <d v="2010-04-10T00:00:00"/>
    <m/>
    <s v="N/A-StillEmployed"/>
    <x v="0"/>
    <x v="1"/>
    <s v="Janet King"/>
    <n v="2"/>
    <s v="Employee Referral"/>
    <x v="0"/>
    <n v="4.5999999999999996"/>
    <n v="5"/>
    <n v="6"/>
    <d v="2019-02-21T00:00:00"/>
    <n v="0"/>
    <n v="16"/>
    <x v="1"/>
    <n v="16"/>
    <s v="10+ Years"/>
    <x v="1"/>
  </r>
  <r>
    <s v="Zhou, Julia"/>
    <n v="10043"/>
    <n v="0"/>
    <n v="0"/>
    <n v="0"/>
    <n v="1"/>
    <n v="3"/>
    <n v="3"/>
    <n v="0"/>
    <n v="89292"/>
    <n v="0"/>
    <n v="9"/>
    <x v="5"/>
    <s v="MA"/>
    <n v="2148"/>
    <d v="1979-02-24T00:00:00"/>
    <x v="1"/>
    <s v="Single"/>
    <s v="US Citizen"/>
    <s v="No"/>
    <s v="White"/>
    <d v="2015-03-30T00:00:00"/>
    <m/>
    <s v="N/A-StillEmployed"/>
    <x v="0"/>
    <x v="1"/>
    <s v="Simon Roup"/>
    <n v="4"/>
    <s v="Employee Referral"/>
    <x v="1"/>
    <n v="5"/>
    <n v="3"/>
    <n v="5"/>
    <d v="2019-02-01T00:00:00"/>
    <n v="0"/>
    <n v="11"/>
    <x v="1"/>
    <n v="11"/>
    <s v="10+ Years"/>
    <x v="1"/>
  </r>
  <r>
    <s v="Zima, Colleen"/>
    <n v="10271"/>
    <n v="0"/>
    <n v="4"/>
    <n v="0"/>
    <n v="1"/>
    <n v="5"/>
    <n v="3"/>
    <n v="0"/>
    <n v="45046"/>
    <n v="0"/>
    <n v="19"/>
    <x v="0"/>
    <s v="MA"/>
    <n v="1730"/>
    <d v="1978-08-17T00:00:00"/>
    <x v="1"/>
    <s v="Widowed"/>
    <s v="US Citizen"/>
    <s v="No"/>
    <s v="Asian"/>
    <d v="2014-09-29T00:00:00"/>
    <m/>
    <s v="N/A-StillEmployed"/>
    <x v="0"/>
    <x v="0"/>
    <s v="David Stanley"/>
    <n v="14"/>
    <s v="LinkedIn"/>
    <x v="1"/>
    <n v="4.5"/>
    <n v="5"/>
    <n v="0"/>
    <d v="2019-01-30T00:00:00"/>
    <n v="0"/>
    <n v="2"/>
    <x v="0"/>
    <n v="11"/>
    <s v="10+ Year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57FE2F-4A09-4445-80D6-AE3C4FDB43B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pivotFields>
  <rowFields count="1">
    <field x="29"/>
  </rowFields>
  <rowItems count="5">
    <i>
      <x/>
    </i>
    <i>
      <x v="2"/>
    </i>
    <i>
      <x v="1"/>
    </i>
    <i>
      <x v="3"/>
    </i>
    <i t="grand">
      <x/>
    </i>
  </rowItems>
  <colItems count="1">
    <i/>
  </colItems>
  <dataFields count="1">
    <dataField name="Average of Salary" fld="9" subtotal="average" baseField="29" baseItem="0" numFmtId="164"/>
  </dataFields>
  <formats count="1">
    <format dxfId="22">
      <pivotArea outline="0" collapsedLevelsAreSubtotals="1" fieldPosition="0"/>
    </format>
  </formats>
  <conditionalFormats count="1">
    <conditionalFormat scope="field" priority="2">
      <pivotAreas count="1">
        <pivotArea outline="0" collapsedLevelsAreSubtotals="1" fieldPosition="0">
          <references count="2">
            <reference field="4294967294" count="1" selected="0">
              <x v="0"/>
            </reference>
            <reference field="29"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734F33-5759-4304-8E3A-150EE59544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D19:E22"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rowFields count="1">
    <field x="16"/>
  </rowFields>
  <rowItems count="3">
    <i>
      <x v="1"/>
    </i>
    <i>
      <x/>
    </i>
    <i t="grand">
      <x/>
    </i>
  </rowItems>
  <colItems count="1">
    <i/>
  </colItems>
  <dataFields count="1">
    <dataField name="Average of Salary" fld="9" subtotal="average" baseField="16" baseItem="0" numFmtId="164"/>
  </dataFields>
  <formats count="3">
    <format dxfId="25">
      <pivotArea collapsedLevelsAreSubtotals="1" fieldPosition="0">
        <references count="1">
          <reference field="16" count="1">
            <x v="0"/>
          </reference>
        </references>
      </pivotArea>
    </format>
    <format dxfId="24">
      <pivotArea collapsedLevelsAreSubtotals="1" fieldPosition="0">
        <references count="1">
          <reference field="16" count="1">
            <x v="1"/>
          </reference>
        </references>
      </pivotArea>
    </format>
    <format dxfId="23">
      <pivotArea outline="0" collapsedLevelsAreSubtotals="1" fieldPosition="0"/>
    </format>
  </formats>
  <conditionalFormats count="1">
    <conditionalFormat scope="field" priority="3">
      <pivotAreas count="1">
        <pivotArea outline="0" collapsedLevelsAreSubtotals="1" fieldPosition="0">
          <references count="2">
            <reference field="4294967294" count="1" selected="0">
              <x v="0"/>
            </reference>
            <reference field="16" count="0" selected="0"/>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B0870-BCFB-44FA-BF27-9855A4290A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G5:H11"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a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rowFields count="1">
    <field x="12"/>
  </rowFields>
  <rowItems count="6">
    <i>
      <x v="1"/>
    </i>
    <i>
      <x v="22"/>
    </i>
    <i>
      <x v="18"/>
    </i>
    <i>
      <x/>
    </i>
    <i>
      <x v="17"/>
    </i>
    <i t="grand">
      <x/>
    </i>
  </rowItems>
  <colItems count="1">
    <i/>
  </colItems>
  <dataFields count="1">
    <dataField name="Average of Salary" fld="9" subtotal="average" baseField="12" baseItem="0" numFmtId="164"/>
  </dataFields>
  <formats count="1">
    <format dxfId="26">
      <pivotArea outline="0" collapsedLevelsAreSubtotals="1" fieldPosition="0"/>
    </format>
  </formats>
  <conditionalFormats count="1">
    <conditionalFormat scope="field" priority="4">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41DAB4-E362-47F4-9EA7-04CDFEE4D0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D5:E11"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de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rowFields count="1">
    <field x="12"/>
  </rowFields>
  <rowItems count="6">
    <i>
      <x v="19"/>
    </i>
    <i>
      <x v="5"/>
    </i>
    <i>
      <x v="11"/>
    </i>
    <i>
      <x v="13"/>
    </i>
    <i>
      <x v="10"/>
    </i>
    <i t="grand">
      <x/>
    </i>
  </rowItems>
  <colItems count="1">
    <i/>
  </colItems>
  <dataFields count="1">
    <dataField name="Average of Salary" fld="9" subtotal="average" baseField="12" baseItem="0" numFmtId="164"/>
  </dataFields>
  <formats count="1">
    <format dxfId="27">
      <pivotArea outline="0" collapsedLevelsAreSubtotals="1" fieldPosition="0"/>
    </format>
  </formats>
  <conditionalFormats count="1">
    <conditionalFormat scope="field" priority="5">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90D9D9-2612-4D89-B687-956BBEFEC7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Name">
  <location ref="A5:B12"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rowFields count="1">
    <field x="25"/>
  </rowFields>
  <rowItems count="7">
    <i>
      <x v="1"/>
    </i>
    <i>
      <x v="2"/>
    </i>
    <i>
      <x v="5"/>
    </i>
    <i>
      <x/>
    </i>
    <i>
      <x v="4"/>
    </i>
    <i>
      <x v="3"/>
    </i>
    <i t="grand">
      <x/>
    </i>
  </rowItems>
  <colItems count="1">
    <i/>
  </colItems>
  <dataFields count="1">
    <dataField name="Average of Salary" fld="9" subtotal="average" baseField="25" baseItem="0"/>
  </dataFields>
  <formats count="2">
    <format dxfId="29">
      <pivotArea collapsedLevelsAreSubtotals="1" fieldPosition="0">
        <references count="1">
          <reference field="25" count="0"/>
        </references>
      </pivotArea>
    </format>
    <format dxfId="28">
      <pivotArea grandRow="1"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25" count="6">
              <x v="0"/>
              <x v="1"/>
              <x v="2"/>
              <x v="3"/>
              <x v="4"/>
              <x v="5"/>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85F1C-5F17-4A3F-B9D1-CA0DAE5DC5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9:H22"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sortType="descending">
      <items count="4">
        <item x="2"/>
        <item h="1" x="1"/>
        <item x="0"/>
        <item t="default"/>
      </items>
      <autoSortScope>
        <pivotArea dataOnly="0" outline="0" fieldPosition="0">
          <references count="1">
            <reference field="4294967294" count="1" selected="0">
              <x v="0"/>
            </reference>
          </references>
        </pivotArea>
      </autoSortScope>
    </pivotField>
  </pivotFields>
  <rowFields count="1">
    <field x="39"/>
  </rowFields>
  <rowItems count="3">
    <i>
      <x/>
    </i>
    <i>
      <x v="2"/>
    </i>
    <i t="grand">
      <x/>
    </i>
  </rowItems>
  <colItems count="1">
    <i/>
  </colItems>
  <dataFields count="1">
    <dataField name="Average of Salary" fld="9" subtotal="average" baseField="39" baseItem="0" numFmtId="164"/>
  </dataFields>
  <formats count="3">
    <format dxfId="32">
      <pivotArea collapsedLevelsAreSubtotals="1" fieldPosition="0">
        <references count="1">
          <reference field="39" count="1">
            <x v="2"/>
          </reference>
        </references>
      </pivotArea>
    </format>
    <format dxfId="31">
      <pivotArea collapsedLevelsAreSubtotals="1" fieldPosition="0">
        <references count="1">
          <reference field="39" count="1">
            <x v="0"/>
          </reference>
        </references>
      </pivotArea>
    </format>
    <format dxfId="30">
      <pivotArea outline="0" collapsedLevelsAreSubtotals="1" fieldPosition="0"/>
    </format>
  </formats>
  <conditionalFormats count="1">
    <conditionalFormat scope="field" priority="1">
      <pivotAreas count="1">
        <pivotArea outline="0" collapsedLevelsAreSubtotals="1" fieldPosition="0">
          <references count="2">
            <reference field="4294967294" count="1" selected="0">
              <x v="0"/>
            </reference>
            <reference field="39" count="0" selected="0"/>
          </references>
        </pivotArea>
      </pivotAreas>
    </conditionalFormat>
  </conditionalFormats>
  <chartFormats count="3">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9" count="1" selected="0">
            <x v="0"/>
          </reference>
        </references>
      </pivotArea>
    </chartFormat>
    <chartFormat chart="6" format="7">
      <pivotArea type="data" outline="0" fieldPosition="0">
        <references count="2">
          <reference field="4294967294" count="1" selected="0">
            <x v="0"/>
          </reference>
          <reference field="39"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8DE665-5538-4973-8272-5D5BE2517FDC}" autoFormatId="16" applyNumberFormats="0" applyBorderFormats="0" applyFontFormats="0" applyPatternFormats="0" applyAlignmentFormats="0" applyWidthHeightFormats="0">
  <queryTableRefresh nextId="41" unboundColumnsRight="4">
    <queryTableFields count="40">
      <queryTableField id="1" name="Employee_Name" tableColumnId="1"/>
      <queryTableField id="2" name="Emp_ID" tableColumnId="2"/>
      <queryTableField id="3" name="Married_ID" tableColumnId="3"/>
      <queryTableField id="4" name="MaritalStatusI_D" tableColumnId="4"/>
      <queryTableField id="5" name="Gender_ID" tableColumnId="5"/>
      <queryTableField id="6" name="EmpStatus_ID" tableColumnId="6"/>
      <queryTableField id="7" name="Dept_ID" tableColumnId="7"/>
      <queryTableField id="8" name="PerfScore_ID" tableColumnId="8"/>
      <queryTableField id="9" name="FromDiversityJobFair_ID" tableColumnId="9"/>
      <queryTableField id="10" name="Salary" tableColumnId="10"/>
      <queryTableField id="11" name="Termd" tableColumnId="11"/>
      <queryTableField id="12" name="Position_ID" tableColumnId="12"/>
      <queryTableField id="13" name="Position_Name" tableColumnId="13"/>
      <queryTableField id="14" name="State" tableColumnId="14"/>
      <queryTableField id="15" name="Zip" tableColumnId="15"/>
      <queryTableField id="16" name="DOB" tableColumnId="16"/>
      <queryTableField id="17" name="Gender" tableColumnId="17"/>
      <queryTableField id="18" name="Marital_Status" tableColumnId="18"/>
      <queryTableField id="19" name="Citizen_Desc" tableColumnId="19"/>
      <queryTableField id="20" name="HispanicLatino" tableColumnId="20"/>
      <queryTableField id="21" name="Race_Desc" tableColumnId="21"/>
      <queryTableField id="22" name="Hire_Date" tableColumnId="22"/>
      <queryTableField id="23" name="Termination_Date" tableColumnId="23"/>
      <queryTableField id="24" name="Term_Reason" tableColumnId="24"/>
      <queryTableField id="25" name="Employment_Status" tableColumnId="25"/>
      <queryTableField id="26" name="Department_Name" tableColumnId="26"/>
      <queryTableField id="27" name="Manager_Name" tableColumnId="27"/>
      <queryTableField id="28" name="Manager_ID" tableColumnId="28"/>
      <queryTableField id="29" name="Recruitment_Source" tableColumnId="29"/>
      <queryTableField id="30" name="Performance_Score" tableColumnId="30"/>
      <queryTableField id="31" name="Engagement_Survey" tableColumnId="31"/>
      <queryTableField id="32" name="Emp_Satisfaction" tableColumnId="32"/>
      <queryTableField id="33" name="SpecialProjects_Count" tableColumnId="33"/>
      <queryTableField id="34" name="LastPerformanceReview_Date" tableColumnId="34"/>
      <queryTableField id="35" name="DaysLateLast30" tableColumnId="35"/>
      <queryTableField id="36" name="Absences" tableColumnId="36"/>
      <queryTableField id="37" dataBound="0" tableColumnId="37"/>
      <queryTableField id="38" dataBound="0" tableColumnId="38"/>
      <queryTableField id="39" dataBound="0" tableColumnId="39"/>
      <queryTableField id="40" dataBound="0"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59827-3B0F-4411-A955-4C02A3681604}" name="HRDataset_v14" displayName="HRDataset_v14" ref="A1:AN312" tableType="queryTable" totalsRowShown="0">
  <autoFilter ref="A1:AN312" xr:uid="{EA259827-3B0F-4411-A955-4C02A3681604}"/>
  <tableColumns count="40">
    <tableColumn id="1" xr3:uid="{92198368-098C-455D-95A9-4E5A829F33B7}" uniqueName="1" name="Employee_Name" queryTableFieldId="1" dataDxfId="21"/>
    <tableColumn id="2" xr3:uid="{ADA04885-A785-4E91-85A5-CC467933051D}" uniqueName="2" name="Emp_ID" queryTableFieldId="2"/>
    <tableColumn id="3" xr3:uid="{D8330EC9-BC95-40F7-AD94-C7634332C9CB}" uniqueName="3" name="Married_ID" queryTableFieldId="3"/>
    <tableColumn id="4" xr3:uid="{2130AB8F-01F8-4DD4-A388-E361406938EE}" uniqueName="4" name="MaritalStatusI_D" queryTableFieldId="4"/>
    <tableColumn id="5" xr3:uid="{C71110A8-76DC-4AED-8FC0-F980E81AFC0D}" uniqueName="5" name="Gender_ID" queryTableFieldId="5"/>
    <tableColumn id="6" xr3:uid="{A6ABE9B8-6D0A-45D0-8282-0B5E8D6D3981}" uniqueName="6" name="EmpStatus_ID" queryTableFieldId="6"/>
    <tableColumn id="7" xr3:uid="{6E10892A-CFD9-4502-BBF5-20B3F2E95931}" uniqueName="7" name="Dept_ID" queryTableFieldId="7"/>
    <tableColumn id="8" xr3:uid="{7AF790A8-794B-49D3-B6BC-D4EB297657D0}" uniqueName="8" name="PerfScore_ID" queryTableFieldId="8"/>
    <tableColumn id="9" xr3:uid="{952DCEB0-07CA-40BA-BD87-906D2BF93DA5}" uniqueName="9" name="FromDiversityJobFair_ID" queryTableFieldId="9"/>
    <tableColumn id="10" xr3:uid="{04944A06-6AF9-45BB-9D6B-1D6D068109C2}" uniqueName="10" name="Salary" queryTableFieldId="10"/>
    <tableColumn id="11" xr3:uid="{C209122C-D4E3-488F-AD47-A88FABB132AB}" uniqueName="11" name="Termd" queryTableFieldId="11"/>
    <tableColumn id="12" xr3:uid="{E0CA4B0B-D92F-4CC6-9061-C3417C9AF6CA}" uniqueName="12" name="Position_ID" queryTableFieldId="12"/>
    <tableColumn id="13" xr3:uid="{7E301C58-24BF-4C3A-8D36-F2ECFA455C06}" uniqueName="13" name="Position_Name" queryTableFieldId="13" dataDxfId="20"/>
    <tableColumn id="14" xr3:uid="{42C88DB1-487F-48ED-9F82-0043D33E4B35}" uniqueName="14" name="State" queryTableFieldId="14" dataDxfId="19"/>
    <tableColumn id="15" xr3:uid="{A695AC9F-23E8-4FEB-A6E4-3BE7AE36F1C0}" uniqueName="15" name="Zip" queryTableFieldId="15"/>
    <tableColumn id="16" xr3:uid="{6AF3D05D-A871-4AAF-A4DC-17967A0F73D0}" uniqueName="16" name="DOB" queryTableFieldId="16" dataDxfId="18"/>
    <tableColumn id="17" xr3:uid="{B60C48FB-9237-4F05-A972-BF7A0443218C}" uniqueName="17" name="Gender" queryTableFieldId="17" dataDxfId="17"/>
    <tableColumn id="18" xr3:uid="{39655564-F089-4E0D-A71B-B3BFA0FC3518}" uniqueName="18" name="Marital_Status" queryTableFieldId="18" dataDxfId="16"/>
    <tableColumn id="19" xr3:uid="{25C9F793-889A-4193-9D8E-F735BE0B87AC}" uniqueName="19" name="Citizen_Desc" queryTableFieldId="19" dataDxfId="15"/>
    <tableColumn id="20" xr3:uid="{51CC3F57-A58B-429B-9358-509E06280E63}" uniqueName="20" name="HispanicLatino" queryTableFieldId="20" dataDxfId="14"/>
    <tableColumn id="21" xr3:uid="{893E06B7-2451-44F6-B249-742FA9F424D4}" uniqueName="21" name="Race_Desc" queryTableFieldId="21" dataDxfId="13"/>
    <tableColumn id="22" xr3:uid="{91010CB6-3E6F-4ECB-A9ED-A3F046688F22}" uniqueName="22" name="Hire_Date" queryTableFieldId="22" dataDxfId="12"/>
    <tableColumn id="23" xr3:uid="{A6C69680-C21E-4070-B277-E711DA72D947}" uniqueName="23" name="Termination_Date" queryTableFieldId="23" dataDxfId="11"/>
    <tableColumn id="24" xr3:uid="{99FFC187-FB0A-40CB-B2AC-ED97F081F7E9}" uniqueName="24" name="Term_Reason" queryTableFieldId="24" dataDxfId="10"/>
    <tableColumn id="25" xr3:uid="{24A2EBE2-400E-4156-94A5-A4265D5D88D0}" uniqueName="25" name="Employment_Status" queryTableFieldId="25" dataDxfId="9"/>
    <tableColumn id="26" xr3:uid="{4D5141BE-3977-43B7-9E69-64E378AD5D3D}" uniqueName="26" name="Department_Name" queryTableFieldId="26" dataDxfId="8"/>
    <tableColumn id="27" xr3:uid="{C4C769EF-7F0D-4A8E-9AF4-7C9D999D1564}" uniqueName="27" name="Manager_Name" queryTableFieldId="27" dataDxfId="7"/>
    <tableColumn id="28" xr3:uid="{9CBED897-C31D-4049-B2C8-25AED949D17A}" uniqueName="28" name="Manager_ID" queryTableFieldId="28"/>
    <tableColumn id="29" xr3:uid="{0317E9CA-C4F9-44A7-A419-A1C8C384C6D5}" uniqueName="29" name="Recruitment_Source" queryTableFieldId="29" dataDxfId="6"/>
    <tableColumn id="30" xr3:uid="{C8E7AF0C-6BB1-4E26-9B9A-439688670D44}" uniqueName="30" name="Performance_Score" queryTableFieldId="30" dataDxfId="5"/>
    <tableColumn id="31" xr3:uid="{29A06136-B045-48AA-9081-32B9EBE01E2F}" uniqueName="31" name="Engagement_Survey" queryTableFieldId="31"/>
    <tableColumn id="32" xr3:uid="{2EC04972-44EE-49D9-AC69-6503A78FA2D1}" uniqueName="32" name="Emp_Satisfaction" queryTableFieldId="32"/>
    <tableColumn id="33" xr3:uid="{B1D0BDBC-0D70-47E5-A4A5-1FCDD8DC386C}" uniqueName="33" name="SpecialProjects_Count" queryTableFieldId="33"/>
    <tableColumn id="34" xr3:uid="{FC3C19CF-C634-4310-BCDF-22251D8E47F1}" uniqueName="34" name="LastPerformanceReview_Date" queryTableFieldId="34" dataDxfId="4"/>
    <tableColumn id="35" xr3:uid="{B38F2B7F-62ED-4C84-9EC4-6D84A508268D}" uniqueName="35" name="DaysLateLast30" queryTableFieldId="35"/>
    <tableColumn id="36" xr3:uid="{09C92089-84B4-48F5-A95F-EAD87FBA1D48}" uniqueName="36" name="Absences" queryTableFieldId="36"/>
    <tableColumn id="37" xr3:uid="{EFE0A5AD-AB84-4FAB-8C3B-06ACC2C8806E}" uniqueName="37" name="Role_Type" queryTableFieldId="37" dataDxfId="3">
      <calculatedColumnFormula>IF(OR(Z2="IT/IS",Z2="Software Engineering"),"Technical","Non-Technical")</calculatedColumnFormula>
    </tableColumn>
    <tableColumn id="38" xr3:uid="{7D70B925-90E0-4AE0-A446-FCAC7DDB4B4F}" uniqueName="38" name="Tenure_Years" queryTableFieldId="38" dataDxfId="2">
      <calculatedColumnFormula>IF(W2="",DATEDIF(V2,TODAY(),"Y"),DATEDIF(V2,W2,"Y"))</calculatedColumnFormula>
    </tableColumn>
    <tableColumn id="39" xr3:uid="{D7438505-4796-4A3E-B612-79095E8EE5F7}" uniqueName="39" name="Tenure_Group" queryTableFieldId="39" dataDxfId="1">
      <calculatedColumnFormula>IF(AL2&lt;2,"0-2 Years",
IF(AL2&lt;5,"2-5 Years",
IF(AL2&lt;10,"5-10 Years","10+ Years")))</calculatedColumnFormula>
    </tableColumn>
    <tableColumn id="40" xr3:uid="{9CD51995-19E9-44A4-8C62-0225E44F7DD7}" uniqueName="40" name="Position_Level" queryTableFieldId="40" dataDxfId="0">
      <calculatedColumnFormula>IF(ISNUMBER(SEARCH("Manager",M2)),"Manager",
IF(ISNUMBER(SEARCH("Technician",M2)),"Technician","Other"))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E094-325A-4A16-BABC-25422C6B3355}">
  <dimension ref="A1:AN312"/>
  <sheetViews>
    <sheetView topLeftCell="AD43" workbookViewId="0">
      <selection activeCell="AN3" sqref="AN3"/>
    </sheetView>
  </sheetViews>
  <sheetFormatPr defaultRowHeight="14.4"/>
  <cols>
    <col min="1" max="1" width="21.6640625" bestFit="1" customWidth="1"/>
    <col min="2" max="2" width="9.77734375" bestFit="1" customWidth="1"/>
    <col min="3" max="3" width="12.6640625" bestFit="1" customWidth="1"/>
    <col min="4" max="4" width="17.33203125" bestFit="1" customWidth="1"/>
    <col min="5" max="5" width="12.109375" bestFit="1" customWidth="1"/>
    <col min="6" max="6" width="15" bestFit="1" customWidth="1"/>
    <col min="7" max="7" width="10" bestFit="1" customWidth="1"/>
    <col min="8" max="8" width="14.109375" bestFit="1" customWidth="1"/>
    <col min="9" max="9" width="23.77734375" bestFit="1" customWidth="1"/>
    <col min="10" max="10" width="8.33203125" bestFit="1" customWidth="1"/>
    <col min="11" max="11" width="8.6640625" bestFit="1" customWidth="1"/>
    <col min="12" max="12" width="12.77734375" bestFit="1" customWidth="1"/>
    <col min="13" max="13" width="26.33203125" bestFit="1" customWidth="1"/>
    <col min="14" max="14" width="7.5546875" bestFit="1" customWidth="1"/>
    <col min="15" max="15" width="6" bestFit="1" customWidth="1"/>
    <col min="16" max="16" width="10.5546875" bestFit="1" customWidth="1"/>
    <col min="17" max="17" width="9.33203125" bestFit="1" customWidth="1"/>
    <col min="18" max="18" width="15.5546875" bestFit="1" customWidth="1"/>
    <col min="19" max="19" width="16.109375" bestFit="1" customWidth="1"/>
    <col min="20" max="20" width="15.5546875" bestFit="1" customWidth="1"/>
    <col min="21" max="21" width="28.21875" bestFit="1" customWidth="1"/>
    <col min="22" max="22" width="15.44140625" customWidth="1"/>
    <col min="23" max="23" width="18.44140625" bestFit="1" customWidth="1"/>
    <col min="24" max="24" width="26.77734375" bestFit="1" customWidth="1"/>
    <col min="25" max="25" width="20.44140625" bestFit="1" customWidth="1"/>
    <col min="26" max="26" width="19.5546875" bestFit="1" customWidth="1"/>
    <col min="27" max="27" width="16.88671875" bestFit="1" customWidth="1"/>
    <col min="28" max="28" width="13.5546875" bestFit="1" customWidth="1"/>
    <col min="29" max="29" width="20.77734375" bestFit="1" customWidth="1"/>
    <col min="30" max="30" width="20" bestFit="1" customWidth="1"/>
    <col min="31" max="31" width="20.77734375" bestFit="1" customWidth="1"/>
    <col min="32" max="32" width="17.88671875" bestFit="1" customWidth="1"/>
    <col min="33" max="33" width="22.21875" bestFit="1" customWidth="1"/>
    <col min="34" max="34" width="28.77734375" bestFit="1" customWidth="1"/>
    <col min="35" max="35" width="16.21875" bestFit="1" customWidth="1"/>
    <col min="36" max="36" width="11.109375" bestFit="1" customWidth="1"/>
    <col min="37" max="37" width="15.109375" customWidth="1"/>
    <col min="38" max="38" width="14.5546875" bestFit="1" customWidth="1"/>
    <col min="39" max="39" width="15.44140625" bestFit="1" customWidth="1"/>
  </cols>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491</v>
      </c>
      <c r="AL1" t="s">
        <v>496</v>
      </c>
      <c r="AM1" t="s">
        <v>497</v>
      </c>
      <c r="AN1" t="s">
        <v>499</v>
      </c>
    </row>
    <row r="2" spans="1:40">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W2" s="1"/>
      <c r="X2" t="s">
        <v>44</v>
      </c>
      <c r="Y2" t="s">
        <v>45</v>
      </c>
      <c r="Z2" t="s">
        <v>46</v>
      </c>
      <c r="AA2" t="s">
        <v>47</v>
      </c>
      <c r="AB2">
        <v>22</v>
      </c>
      <c r="AC2" t="s">
        <v>48</v>
      </c>
      <c r="AD2" t="s">
        <v>49</v>
      </c>
      <c r="AE2">
        <v>4.5999999999999996</v>
      </c>
      <c r="AF2">
        <v>5</v>
      </c>
      <c r="AG2">
        <v>0</v>
      </c>
      <c r="AH2" s="1">
        <v>43482</v>
      </c>
      <c r="AI2">
        <v>0</v>
      </c>
      <c r="AJ2">
        <v>1</v>
      </c>
      <c r="AK2" s="4" t="str">
        <f t="shared" ref="AK2:AK65" si="0">IF(OR(Z2="IT/IS",Z2="Software Engineering"),"Technical","Non-Technical")</f>
        <v>Non-Technical</v>
      </c>
      <c r="AL2">
        <f t="shared" ref="AL2:AL65" ca="1" si="1">IF(W2="",DATEDIF(V2,TODAY(),"Y"),DATEDIF(V2,W2,"Y"))</f>
        <v>14</v>
      </c>
      <c r="AM2" t="str">
        <f t="shared" ref="AM2:AM65" ca="1" si="2">IF(AL2&lt;2,"0-2 Years",
IF(AL2&lt;5,"2-5 Years",
IF(AL2&lt;10,"5-10 Years","10+ Years")))</f>
        <v>10+ Years</v>
      </c>
      <c r="AN2" t="str">
        <f t="shared" ref="AN2:AN65" si="3">IF(ISNUMBER(SEARCH("Manager",M2)),"Manager",
IF(ISNUMBER(SEARCH("Technician",M2)),"Technician","Other"))</f>
        <v>Technician</v>
      </c>
    </row>
    <row r="3" spans="1:40">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c r="AK3" t="str">
        <f t="shared" si="0"/>
        <v>Technical</v>
      </c>
      <c r="AL3">
        <f t="shared" ca="1" si="1"/>
        <v>1</v>
      </c>
      <c r="AM3" t="str">
        <f t="shared" ca="1" si="2"/>
        <v>0-2 Years</v>
      </c>
      <c r="AN3" t="str">
        <f t="shared" si="3"/>
        <v>Other</v>
      </c>
    </row>
    <row r="4" spans="1:40">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c r="AK4" t="str">
        <f t="shared" si="0"/>
        <v>Non-Technical</v>
      </c>
      <c r="AL4">
        <f t="shared" ca="1" si="1"/>
        <v>1</v>
      </c>
      <c r="AM4" t="str">
        <f t="shared" ca="1" si="2"/>
        <v>0-2 Years</v>
      </c>
      <c r="AN4" t="str">
        <f t="shared" si="3"/>
        <v>Technician</v>
      </c>
    </row>
    <row r="5" spans="1:40">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W5" s="1"/>
      <c r="X5" t="s">
        <v>44</v>
      </c>
      <c r="Y5" t="s">
        <v>45</v>
      </c>
      <c r="Z5" t="s">
        <v>46</v>
      </c>
      <c r="AA5" t="s">
        <v>65</v>
      </c>
      <c r="AB5">
        <v>16</v>
      </c>
      <c r="AC5" t="s">
        <v>57</v>
      </c>
      <c r="AD5" t="s">
        <v>58</v>
      </c>
      <c r="AE5">
        <v>4.84</v>
      </c>
      <c r="AF5">
        <v>5</v>
      </c>
      <c r="AG5">
        <v>0</v>
      </c>
      <c r="AH5" s="1">
        <v>43468</v>
      </c>
      <c r="AI5">
        <v>0</v>
      </c>
      <c r="AJ5">
        <v>15</v>
      </c>
      <c r="AK5" t="str">
        <f t="shared" si="0"/>
        <v>Non-Technical</v>
      </c>
      <c r="AL5">
        <f t="shared" ca="1" si="1"/>
        <v>18</v>
      </c>
      <c r="AM5" t="str">
        <f t="shared" ca="1" si="2"/>
        <v>10+ Years</v>
      </c>
      <c r="AN5" t="str">
        <f t="shared" si="3"/>
        <v>Technician</v>
      </c>
    </row>
    <row r="6" spans="1:40">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c r="AK6" t="str">
        <f t="shared" si="0"/>
        <v>Non-Technical</v>
      </c>
      <c r="AL6">
        <f t="shared" ca="1" si="1"/>
        <v>5</v>
      </c>
      <c r="AM6" t="str">
        <f t="shared" ca="1" si="2"/>
        <v>5-10 Years</v>
      </c>
      <c r="AN6" t="str">
        <f t="shared" si="3"/>
        <v>Technician</v>
      </c>
    </row>
    <row r="7" spans="1:40">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W7" s="1"/>
      <c r="X7" t="s">
        <v>44</v>
      </c>
      <c r="Y7" t="s">
        <v>45</v>
      </c>
      <c r="Z7" t="s">
        <v>46</v>
      </c>
      <c r="AA7" t="s">
        <v>72</v>
      </c>
      <c r="AB7">
        <v>11</v>
      </c>
      <c r="AC7" t="s">
        <v>48</v>
      </c>
      <c r="AD7" t="s">
        <v>49</v>
      </c>
      <c r="AE7">
        <v>5</v>
      </c>
      <c r="AF7">
        <v>5</v>
      </c>
      <c r="AG7">
        <v>0</v>
      </c>
      <c r="AH7" s="1">
        <v>43472</v>
      </c>
      <c r="AI7">
        <v>0</v>
      </c>
      <c r="AJ7">
        <v>15</v>
      </c>
      <c r="AK7" t="str">
        <f t="shared" si="0"/>
        <v>Non-Technical</v>
      </c>
      <c r="AL7">
        <f t="shared" ca="1" si="1"/>
        <v>14</v>
      </c>
      <c r="AM7" t="str">
        <f t="shared" ca="1" si="2"/>
        <v>10+ Years</v>
      </c>
      <c r="AN7" t="str">
        <f t="shared" si="3"/>
        <v>Technician</v>
      </c>
    </row>
    <row r="8" spans="1:40">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W8" s="1"/>
      <c r="X8" t="s">
        <v>44</v>
      </c>
      <c r="Y8" t="s">
        <v>45</v>
      </c>
      <c r="Z8" t="s">
        <v>75</v>
      </c>
      <c r="AA8" t="s">
        <v>76</v>
      </c>
      <c r="AB8">
        <v>10</v>
      </c>
      <c r="AC8" t="s">
        <v>48</v>
      </c>
      <c r="AD8" t="s">
        <v>58</v>
      </c>
      <c r="AE8">
        <v>3.04</v>
      </c>
      <c r="AF8">
        <v>3</v>
      </c>
      <c r="AG8">
        <v>4</v>
      </c>
      <c r="AH8" s="1">
        <v>43467</v>
      </c>
      <c r="AI8">
        <v>0</v>
      </c>
      <c r="AJ8">
        <v>19</v>
      </c>
      <c r="AK8" t="str">
        <f t="shared" si="0"/>
        <v>Technical</v>
      </c>
      <c r="AL8">
        <f t="shared" ca="1" si="1"/>
        <v>11</v>
      </c>
      <c r="AM8" t="str">
        <f t="shared" ca="1" si="2"/>
        <v>10+ Years</v>
      </c>
      <c r="AN8" t="str">
        <f t="shared" si="3"/>
        <v>Other</v>
      </c>
    </row>
    <row r="9" spans="1:40">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W9" s="1"/>
      <c r="X9" t="s">
        <v>44</v>
      </c>
      <c r="Y9" t="s">
        <v>45</v>
      </c>
      <c r="Z9" t="s">
        <v>46</v>
      </c>
      <c r="AA9" t="s">
        <v>79</v>
      </c>
      <c r="AB9">
        <v>19</v>
      </c>
      <c r="AC9" t="s">
        <v>80</v>
      </c>
      <c r="AD9" t="s">
        <v>58</v>
      </c>
      <c r="AE9">
        <v>5</v>
      </c>
      <c r="AF9">
        <v>4</v>
      </c>
      <c r="AG9">
        <v>0</v>
      </c>
      <c r="AH9" s="1">
        <v>43521</v>
      </c>
      <c r="AI9">
        <v>0</v>
      </c>
      <c r="AJ9">
        <v>19</v>
      </c>
      <c r="AK9" t="str">
        <f t="shared" si="0"/>
        <v>Non-Technical</v>
      </c>
      <c r="AL9">
        <f t="shared" ca="1" si="1"/>
        <v>12</v>
      </c>
      <c r="AM9" t="str">
        <f t="shared" ca="1" si="2"/>
        <v>10+ Years</v>
      </c>
      <c r="AN9" t="str">
        <f t="shared" si="3"/>
        <v>Technician</v>
      </c>
    </row>
    <row r="10" spans="1:40">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W10" s="1"/>
      <c r="X10" t="s">
        <v>44</v>
      </c>
      <c r="Y10" t="s">
        <v>45</v>
      </c>
      <c r="Z10" t="s">
        <v>46</v>
      </c>
      <c r="AA10" t="s">
        <v>83</v>
      </c>
      <c r="AB10">
        <v>12</v>
      </c>
      <c r="AC10" t="s">
        <v>84</v>
      </c>
      <c r="AD10" t="s">
        <v>58</v>
      </c>
      <c r="AE10">
        <v>4.46</v>
      </c>
      <c r="AF10">
        <v>3</v>
      </c>
      <c r="AG10">
        <v>0</v>
      </c>
      <c r="AH10" s="1">
        <v>43490</v>
      </c>
      <c r="AI10">
        <v>0</v>
      </c>
      <c r="AJ10">
        <v>4</v>
      </c>
      <c r="AK10" t="str">
        <f t="shared" si="0"/>
        <v>Non-Technical</v>
      </c>
      <c r="AL10">
        <f t="shared" ca="1" si="1"/>
        <v>16</v>
      </c>
      <c r="AM10" t="str">
        <f t="shared" ca="1" si="2"/>
        <v>10+ Years</v>
      </c>
      <c r="AN10" t="str">
        <f t="shared" si="3"/>
        <v>Technician</v>
      </c>
    </row>
    <row r="11" spans="1:40">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W11" s="1"/>
      <c r="X11" t="s">
        <v>44</v>
      </c>
      <c r="Y11" t="s">
        <v>45</v>
      </c>
      <c r="Z11" t="s">
        <v>55</v>
      </c>
      <c r="AA11" t="s">
        <v>87</v>
      </c>
      <c r="AB11">
        <v>7</v>
      </c>
      <c r="AC11" t="s">
        <v>57</v>
      </c>
      <c r="AD11" t="s">
        <v>58</v>
      </c>
      <c r="AE11">
        <v>5</v>
      </c>
      <c r="AF11">
        <v>5</v>
      </c>
      <c r="AG11">
        <v>6</v>
      </c>
      <c r="AH11" s="1">
        <v>43514</v>
      </c>
      <c r="AI11">
        <v>0</v>
      </c>
      <c r="AJ11">
        <v>16</v>
      </c>
      <c r="AK11" t="str">
        <f t="shared" si="0"/>
        <v>Technical</v>
      </c>
      <c r="AL11">
        <f t="shared" ca="1" si="1"/>
        <v>11</v>
      </c>
      <c r="AM11" t="str">
        <f t="shared" ca="1" si="2"/>
        <v>10+ Years</v>
      </c>
      <c r="AN11" t="str">
        <f t="shared" si="3"/>
        <v>Other</v>
      </c>
    </row>
    <row r="12" spans="1:40">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c r="AK12" t="str">
        <f t="shared" si="0"/>
        <v>Non-Technical</v>
      </c>
      <c r="AL12">
        <f t="shared" ca="1" si="1"/>
        <v>6</v>
      </c>
      <c r="AM12" t="str">
        <f t="shared" ca="1" si="2"/>
        <v>5-10 Years</v>
      </c>
      <c r="AN12" t="str">
        <f t="shared" si="3"/>
        <v>Technician</v>
      </c>
    </row>
    <row r="13" spans="1:40">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c r="AK13" t="str">
        <f t="shared" si="0"/>
        <v>Non-Technical</v>
      </c>
      <c r="AL13">
        <f t="shared" ca="1" si="1"/>
        <v>4</v>
      </c>
      <c r="AM13" t="str">
        <f t="shared" ca="1" si="2"/>
        <v>2-5 Years</v>
      </c>
      <c r="AN13" t="str">
        <f t="shared" si="3"/>
        <v>Technician</v>
      </c>
    </row>
    <row r="14" spans="1:40">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W14" s="1"/>
      <c r="X14" t="s">
        <v>44</v>
      </c>
      <c r="Y14" t="s">
        <v>45</v>
      </c>
      <c r="Z14" t="s">
        <v>55</v>
      </c>
      <c r="AA14" t="s">
        <v>56</v>
      </c>
      <c r="AB14">
        <v>4</v>
      </c>
      <c r="AC14" t="s">
        <v>84</v>
      </c>
      <c r="AD14" t="s">
        <v>49</v>
      </c>
      <c r="AE14">
        <v>4.28</v>
      </c>
      <c r="AF14">
        <v>4</v>
      </c>
      <c r="AG14">
        <v>5</v>
      </c>
      <c r="AH14" s="1">
        <v>43521</v>
      </c>
      <c r="AI14">
        <v>0</v>
      </c>
      <c r="AJ14">
        <v>9</v>
      </c>
      <c r="AK14" t="str">
        <f t="shared" si="0"/>
        <v>Technical</v>
      </c>
      <c r="AL14">
        <f t="shared" ca="1" si="1"/>
        <v>11</v>
      </c>
      <c r="AM14" t="str">
        <f t="shared" ca="1" si="2"/>
        <v>10+ Years</v>
      </c>
      <c r="AN14" t="str">
        <f t="shared" si="3"/>
        <v>Other</v>
      </c>
    </row>
    <row r="15" spans="1:40">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W15" s="1"/>
      <c r="X15" t="s">
        <v>44</v>
      </c>
      <c r="Y15" t="s">
        <v>45</v>
      </c>
      <c r="Z15" t="s">
        <v>46</v>
      </c>
      <c r="AA15" t="s">
        <v>99</v>
      </c>
      <c r="AB15">
        <v>18</v>
      </c>
      <c r="AC15" t="s">
        <v>70</v>
      </c>
      <c r="AD15" t="s">
        <v>58</v>
      </c>
      <c r="AE15">
        <v>4.5999999999999996</v>
      </c>
      <c r="AF15">
        <v>4</v>
      </c>
      <c r="AG15">
        <v>0</v>
      </c>
      <c r="AH15" s="1">
        <v>43510</v>
      </c>
      <c r="AI15">
        <v>0</v>
      </c>
      <c r="AJ15">
        <v>7</v>
      </c>
      <c r="AK15" t="str">
        <f t="shared" si="0"/>
        <v>Non-Technical</v>
      </c>
      <c r="AL15">
        <f t="shared" ca="1" si="1"/>
        <v>14</v>
      </c>
      <c r="AM15" t="str">
        <f t="shared" ca="1" si="2"/>
        <v>10+ Years</v>
      </c>
      <c r="AN15" t="str">
        <f t="shared" si="3"/>
        <v>Technician</v>
      </c>
    </row>
    <row r="16" spans="1:40">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c r="AK16" t="str">
        <f t="shared" si="0"/>
        <v>Non-Technical</v>
      </c>
      <c r="AL16">
        <f t="shared" ca="1" si="1"/>
        <v>4</v>
      </c>
      <c r="AM16" t="str">
        <f t="shared" ca="1" si="2"/>
        <v>2-5 Years</v>
      </c>
      <c r="AN16" t="str">
        <f t="shared" si="3"/>
        <v>Technician</v>
      </c>
    </row>
    <row r="17" spans="1:40">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c r="AK17" t="str">
        <f t="shared" si="0"/>
        <v>Non-Technical</v>
      </c>
      <c r="AL17">
        <f t="shared" ca="1" si="1"/>
        <v>6</v>
      </c>
      <c r="AM17" t="str">
        <f t="shared" ca="1" si="2"/>
        <v>5-10 Years</v>
      </c>
      <c r="AN17" t="str">
        <f t="shared" si="3"/>
        <v>Technician</v>
      </c>
    </row>
    <row r="18" spans="1:40">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W18" s="1"/>
      <c r="X18" t="s">
        <v>44</v>
      </c>
      <c r="Y18" t="s">
        <v>45</v>
      </c>
      <c r="Z18" t="s">
        <v>46</v>
      </c>
      <c r="AA18" t="s">
        <v>99</v>
      </c>
      <c r="AB18">
        <v>18</v>
      </c>
      <c r="AC18" t="s">
        <v>80</v>
      </c>
      <c r="AD18" t="s">
        <v>49</v>
      </c>
      <c r="AE18">
        <v>4.4000000000000004</v>
      </c>
      <c r="AF18">
        <v>3</v>
      </c>
      <c r="AG18">
        <v>0</v>
      </c>
      <c r="AH18" s="1">
        <v>43479</v>
      </c>
      <c r="AI18">
        <v>0</v>
      </c>
      <c r="AJ18">
        <v>16</v>
      </c>
      <c r="AK18" t="str">
        <f t="shared" si="0"/>
        <v>Non-Technical</v>
      </c>
      <c r="AL18">
        <f t="shared" ca="1" si="1"/>
        <v>9</v>
      </c>
      <c r="AM18" t="str">
        <f t="shared" ca="1" si="2"/>
        <v>5-10 Years</v>
      </c>
      <c r="AN18" t="str">
        <f t="shared" si="3"/>
        <v>Technician</v>
      </c>
    </row>
    <row r="19" spans="1:40">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W19" s="1"/>
      <c r="X19" t="s">
        <v>44</v>
      </c>
      <c r="Y19" t="s">
        <v>45</v>
      </c>
      <c r="Z19" t="s">
        <v>46</v>
      </c>
      <c r="AA19" t="s">
        <v>65</v>
      </c>
      <c r="AB19">
        <v>16</v>
      </c>
      <c r="AC19" t="s">
        <v>70</v>
      </c>
      <c r="AD19" t="s">
        <v>58</v>
      </c>
      <c r="AE19">
        <v>5</v>
      </c>
      <c r="AF19">
        <v>5</v>
      </c>
      <c r="AG19">
        <v>0</v>
      </c>
      <c r="AH19" s="1">
        <v>43479</v>
      </c>
      <c r="AI19">
        <v>0</v>
      </c>
      <c r="AJ19">
        <v>12</v>
      </c>
      <c r="AK19" t="str">
        <f t="shared" si="0"/>
        <v>Non-Technical</v>
      </c>
      <c r="AL19">
        <f t="shared" ca="1" si="1"/>
        <v>15</v>
      </c>
      <c r="AM19" t="str">
        <f t="shared" ca="1" si="2"/>
        <v>10+ Years</v>
      </c>
      <c r="AN19" t="str">
        <f t="shared" si="3"/>
        <v>Technician</v>
      </c>
    </row>
    <row r="20" spans="1:40">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c r="AK20" t="str">
        <f t="shared" si="0"/>
        <v>Technical</v>
      </c>
      <c r="AL20">
        <f t="shared" ca="1" si="1"/>
        <v>1</v>
      </c>
      <c r="AM20" t="str">
        <f t="shared" ca="1" si="2"/>
        <v>0-2 Years</v>
      </c>
      <c r="AN20" t="str">
        <f t="shared" si="3"/>
        <v>Other</v>
      </c>
    </row>
    <row r="21" spans="1:40">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W21" s="1"/>
      <c r="X21" t="s">
        <v>44</v>
      </c>
      <c r="Y21" t="s">
        <v>45</v>
      </c>
      <c r="Z21" t="s">
        <v>46</v>
      </c>
      <c r="AA21" t="s">
        <v>69</v>
      </c>
      <c r="AC21" t="s">
        <v>48</v>
      </c>
      <c r="AD21" t="s">
        <v>58</v>
      </c>
      <c r="AE21">
        <v>4.2</v>
      </c>
      <c r="AF21">
        <v>4</v>
      </c>
      <c r="AG21">
        <v>0</v>
      </c>
      <c r="AH21" s="1">
        <v>43476</v>
      </c>
      <c r="AI21">
        <v>0</v>
      </c>
      <c r="AJ21">
        <v>13</v>
      </c>
      <c r="AK21" t="str">
        <f t="shared" si="0"/>
        <v>Non-Technical</v>
      </c>
      <c r="AL21">
        <f t="shared" ca="1" si="1"/>
        <v>12</v>
      </c>
      <c r="AM21" t="str">
        <f t="shared" ca="1" si="2"/>
        <v>10+ Years</v>
      </c>
      <c r="AN21" t="str">
        <f t="shared" si="3"/>
        <v>Technician</v>
      </c>
    </row>
    <row r="22" spans="1:40">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W22" s="1"/>
      <c r="X22" t="s">
        <v>44</v>
      </c>
      <c r="Y22" t="s">
        <v>45</v>
      </c>
      <c r="Z22" t="s">
        <v>46</v>
      </c>
      <c r="AA22" t="s">
        <v>72</v>
      </c>
      <c r="AB22">
        <v>11</v>
      </c>
      <c r="AC22" t="s">
        <v>70</v>
      </c>
      <c r="AD22" t="s">
        <v>58</v>
      </c>
      <c r="AE22">
        <v>5</v>
      </c>
      <c r="AF22">
        <v>3</v>
      </c>
      <c r="AG22">
        <v>0</v>
      </c>
      <c r="AH22" s="1">
        <v>43479</v>
      </c>
      <c r="AI22">
        <v>0</v>
      </c>
      <c r="AJ22">
        <v>13</v>
      </c>
      <c r="AK22" t="str">
        <f t="shared" si="0"/>
        <v>Non-Technical</v>
      </c>
      <c r="AL22">
        <f t="shared" ca="1" si="1"/>
        <v>14</v>
      </c>
      <c r="AM22" t="str">
        <f t="shared" ca="1" si="2"/>
        <v>10+ Years</v>
      </c>
      <c r="AN22" t="str">
        <f t="shared" si="3"/>
        <v>Technician</v>
      </c>
    </row>
    <row r="23" spans="1:40">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W23" s="1"/>
      <c r="X23" t="s">
        <v>44</v>
      </c>
      <c r="Y23" t="s">
        <v>45</v>
      </c>
      <c r="Z23" t="s">
        <v>46</v>
      </c>
      <c r="AA23" t="s">
        <v>79</v>
      </c>
      <c r="AB23">
        <v>19</v>
      </c>
      <c r="AC23" t="s">
        <v>57</v>
      </c>
      <c r="AD23" t="s">
        <v>58</v>
      </c>
      <c r="AE23">
        <v>4.2</v>
      </c>
      <c r="AF23">
        <v>3</v>
      </c>
      <c r="AG23">
        <v>0</v>
      </c>
      <c r="AH23" s="1">
        <v>43475</v>
      </c>
      <c r="AI23">
        <v>0</v>
      </c>
      <c r="AJ23">
        <v>2</v>
      </c>
      <c r="AK23" t="str">
        <f t="shared" si="0"/>
        <v>Non-Technical</v>
      </c>
      <c r="AL23">
        <f t="shared" ca="1" si="1"/>
        <v>12</v>
      </c>
      <c r="AM23" t="str">
        <f t="shared" ca="1" si="2"/>
        <v>10+ Years</v>
      </c>
      <c r="AN23" t="str">
        <f t="shared" si="3"/>
        <v>Technician</v>
      </c>
    </row>
    <row r="24" spans="1:40">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W24" s="1"/>
      <c r="X24" t="s">
        <v>44</v>
      </c>
      <c r="Y24" t="s">
        <v>45</v>
      </c>
      <c r="Z24" t="s">
        <v>46</v>
      </c>
      <c r="AA24" t="s">
        <v>83</v>
      </c>
      <c r="AB24">
        <v>12</v>
      </c>
      <c r="AC24" t="s">
        <v>57</v>
      </c>
      <c r="AD24" t="s">
        <v>49</v>
      </c>
      <c r="AE24">
        <v>5</v>
      </c>
      <c r="AF24">
        <v>3</v>
      </c>
      <c r="AG24">
        <v>0</v>
      </c>
      <c r="AH24" s="1">
        <v>43523</v>
      </c>
      <c r="AI24">
        <v>0</v>
      </c>
      <c r="AJ24">
        <v>19</v>
      </c>
      <c r="AK24" t="str">
        <f t="shared" si="0"/>
        <v>Non-Technical</v>
      </c>
      <c r="AL24">
        <f t="shared" ca="1" si="1"/>
        <v>11</v>
      </c>
      <c r="AM24" t="str">
        <f t="shared" ca="1" si="2"/>
        <v>10+ Years</v>
      </c>
      <c r="AN24" t="str">
        <f t="shared" si="3"/>
        <v>Technician</v>
      </c>
    </row>
    <row r="25" spans="1:40">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W25" s="1"/>
      <c r="X25" t="s">
        <v>44</v>
      </c>
      <c r="Y25" t="s">
        <v>45</v>
      </c>
      <c r="Z25" t="s">
        <v>46</v>
      </c>
      <c r="AA25" t="s">
        <v>47</v>
      </c>
      <c r="AB25">
        <v>22</v>
      </c>
      <c r="AC25" t="s">
        <v>117</v>
      </c>
      <c r="AD25" t="s">
        <v>118</v>
      </c>
      <c r="AE25">
        <v>2</v>
      </c>
      <c r="AF25">
        <v>3</v>
      </c>
      <c r="AG25">
        <v>0</v>
      </c>
      <c r="AH25" s="1">
        <v>43523</v>
      </c>
      <c r="AI25">
        <v>2</v>
      </c>
      <c r="AJ25">
        <v>3</v>
      </c>
      <c r="AK25" t="str">
        <f t="shared" si="0"/>
        <v>Non-Technical</v>
      </c>
      <c r="AL25">
        <f t="shared" ca="1" si="1"/>
        <v>15</v>
      </c>
      <c r="AM25" t="str">
        <f t="shared" ca="1" si="2"/>
        <v>10+ Years</v>
      </c>
      <c r="AN25" t="str">
        <f t="shared" si="3"/>
        <v>Technician</v>
      </c>
    </row>
    <row r="26" spans="1:40">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c r="AK26" t="str">
        <f t="shared" si="0"/>
        <v>Non-Technical</v>
      </c>
      <c r="AL26">
        <f t="shared" ca="1" si="1"/>
        <v>3</v>
      </c>
      <c r="AM26" t="str">
        <f t="shared" ca="1" si="2"/>
        <v>2-5 Years</v>
      </c>
      <c r="AN26" t="str">
        <f t="shared" si="3"/>
        <v>Technician</v>
      </c>
    </row>
    <row r="27" spans="1:40">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c r="AK27" t="str">
        <f t="shared" si="0"/>
        <v>Technical</v>
      </c>
      <c r="AL27">
        <f t="shared" ca="1" si="1"/>
        <v>2</v>
      </c>
      <c r="AM27" t="str">
        <f t="shared" ca="1" si="2"/>
        <v>2-5 Years</v>
      </c>
      <c r="AN27" t="str">
        <f t="shared" si="3"/>
        <v>Other</v>
      </c>
    </row>
    <row r="28" spans="1:40">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W28" s="1"/>
      <c r="X28" t="s">
        <v>44</v>
      </c>
      <c r="Y28" t="s">
        <v>45</v>
      </c>
      <c r="Z28" t="s">
        <v>126</v>
      </c>
      <c r="AA28" t="s">
        <v>127</v>
      </c>
      <c r="AB28">
        <v>3</v>
      </c>
      <c r="AC28" t="s">
        <v>84</v>
      </c>
      <c r="AD28" t="s">
        <v>58</v>
      </c>
      <c r="AE28">
        <v>5</v>
      </c>
      <c r="AF28">
        <v>4</v>
      </c>
      <c r="AG28">
        <v>3</v>
      </c>
      <c r="AH28" s="1">
        <v>43514</v>
      </c>
      <c r="AI28">
        <v>0</v>
      </c>
      <c r="AJ28">
        <v>4</v>
      </c>
      <c r="AK28" t="str">
        <f t="shared" si="0"/>
        <v>Non-Technical</v>
      </c>
      <c r="AL28">
        <f t="shared" ca="1" si="1"/>
        <v>11</v>
      </c>
      <c r="AM28" t="str">
        <f t="shared" ca="1" si="2"/>
        <v>10+ Years</v>
      </c>
      <c r="AN28" t="str">
        <f t="shared" si="3"/>
        <v>Other</v>
      </c>
    </row>
    <row r="29" spans="1:40">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c r="AK29" t="str">
        <f t="shared" si="0"/>
        <v>Non-Technical</v>
      </c>
      <c r="AL29">
        <f t="shared" ca="1" si="1"/>
        <v>0</v>
      </c>
      <c r="AM29" t="str">
        <f t="shared" ca="1" si="2"/>
        <v>0-2 Years</v>
      </c>
      <c r="AN29" t="str">
        <f t="shared" si="3"/>
        <v>Manager</v>
      </c>
    </row>
    <row r="30" spans="1:40">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c r="AK30" t="str">
        <f t="shared" si="0"/>
        <v>Non-Technical</v>
      </c>
      <c r="AL30">
        <f t="shared" ca="1" si="1"/>
        <v>1</v>
      </c>
      <c r="AM30" t="str">
        <f t="shared" ca="1" si="2"/>
        <v>0-2 Years</v>
      </c>
      <c r="AN30" t="str">
        <f t="shared" si="3"/>
        <v>Technician</v>
      </c>
    </row>
    <row r="31" spans="1:40">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W31" s="1"/>
      <c r="X31" t="s">
        <v>44</v>
      </c>
      <c r="Y31" t="s">
        <v>45</v>
      </c>
      <c r="Z31" t="s">
        <v>126</v>
      </c>
      <c r="AA31" t="s">
        <v>127</v>
      </c>
      <c r="AB31">
        <v>1</v>
      </c>
      <c r="AC31" t="s">
        <v>84</v>
      </c>
      <c r="AD31" t="s">
        <v>58</v>
      </c>
      <c r="AE31">
        <v>4.5</v>
      </c>
      <c r="AF31">
        <v>2</v>
      </c>
      <c r="AG31">
        <v>6</v>
      </c>
      <c r="AH31" s="1">
        <v>43480</v>
      </c>
      <c r="AI31">
        <v>0</v>
      </c>
      <c r="AJ31">
        <v>14</v>
      </c>
      <c r="AK31" t="str">
        <f t="shared" si="0"/>
        <v>Non-Technical</v>
      </c>
      <c r="AL31">
        <f t="shared" ca="1" si="1"/>
        <v>17</v>
      </c>
      <c r="AM31" t="str">
        <f t="shared" ca="1" si="2"/>
        <v>10+ Years</v>
      </c>
      <c r="AN31" t="str">
        <f t="shared" si="3"/>
        <v>Other</v>
      </c>
    </row>
    <row r="32" spans="1:40">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W32" s="1"/>
      <c r="X32" t="s">
        <v>44</v>
      </c>
      <c r="Y32" t="s">
        <v>45</v>
      </c>
      <c r="Z32" t="s">
        <v>46</v>
      </c>
      <c r="AA32" t="s">
        <v>69</v>
      </c>
      <c r="AC32" t="s">
        <v>70</v>
      </c>
      <c r="AD32" t="s">
        <v>58</v>
      </c>
      <c r="AE32">
        <v>3.19</v>
      </c>
      <c r="AF32">
        <v>3</v>
      </c>
      <c r="AG32">
        <v>0</v>
      </c>
      <c r="AH32" s="1">
        <v>43497</v>
      </c>
      <c r="AI32">
        <v>0</v>
      </c>
      <c r="AJ32">
        <v>9</v>
      </c>
      <c r="AK32" t="str">
        <f t="shared" si="0"/>
        <v>Non-Technical</v>
      </c>
      <c r="AL32">
        <f t="shared" ca="1" si="1"/>
        <v>11</v>
      </c>
      <c r="AM32" t="str">
        <f t="shared" ca="1" si="2"/>
        <v>10+ Years</v>
      </c>
      <c r="AN32" t="str">
        <f t="shared" si="3"/>
        <v>Technician</v>
      </c>
    </row>
    <row r="33" spans="1:40">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W33" s="1"/>
      <c r="X33" t="s">
        <v>44</v>
      </c>
      <c r="Y33" t="s">
        <v>45</v>
      </c>
      <c r="Z33" t="s">
        <v>46</v>
      </c>
      <c r="AA33" t="s">
        <v>63</v>
      </c>
      <c r="AB33">
        <v>20</v>
      </c>
      <c r="AC33" t="s">
        <v>84</v>
      </c>
      <c r="AD33" t="s">
        <v>58</v>
      </c>
      <c r="AE33">
        <v>3.5</v>
      </c>
      <c r="AF33">
        <v>5</v>
      </c>
      <c r="AG33">
        <v>0</v>
      </c>
      <c r="AH33" s="1">
        <v>43486</v>
      </c>
      <c r="AI33">
        <v>0</v>
      </c>
      <c r="AJ33">
        <v>17</v>
      </c>
      <c r="AK33" t="str">
        <f t="shared" si="0"/>
        <v>Non-Technical</v>
      </c>
      <c r="AL33">
        <f t="shared" ca="1" si="1"/>
        <v>12</v>
      </c>
      <c r="AM33" t="str">
        <f t="shared" ca="1" si="2"/>
        <v>10+ Years</v>
      </c>
      <c r="AN33" t="str">
        <f t="shared" si="3"/>
        <v>Technician</v>
      </c>
    </row>
    <row r="34" spans="1:40">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c r="AK34" t="str">
        <f t="shared" si="0"/>
        <v>Non-Technical</v>
      </c>
      <c r="AL34">
        <f t="shared" ca="1" si="1"/>
        <v>2</v>
      </c>
      <c r="AM34" t="str">
        <f t="shared" ca="1" si="2"/>
        <v>2-5 Years</v>
      </c>
      <c r="AN34" t="str">
        <f t="shared" si="3"/>
        <v>Manager</v>
      </c>
    </row>
    <row r="35" spans="1:40">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W35" s="1"/>
      <c r="X35" t="s">
        <v>44</v>
      </c>
      <c r="Y35" t="s">
        <v>45</v>
      </c>
      <c r="Z35" t="s">
        <v>46</v>
      </c>
      <c r="AA35" t="s">
        <v>72</v>
      </c>
      <c r="AB35">
        <v>11</v>
      </c>
      <c r="AC35" t="s">
        <v>80</v>
      </c>
      <c r="AD35" t="s">
        <v>58</v>
      </c>
      <c r="AE35">
        <v>4.51</v>
      </c>
      <c r="AF35">
        <v>4</v>
      </c>
      <c r="AG35">
        <v>0</v>
      </c>
      <c r="AH35" s="1">
        <v>43517</v>
      </c>
      <c r="AI35">
        <v>0</v>
      </c>
      <c r="AJ35">
        <v>3</v>
      </c>
      <c r="AK35" t="str">
        <f t="shared" si="0"/>
        <v>Non-Technical</v>
      </c>
      <c r="AL35">
        <f t="shared" ca="1" si="1"/>
        <v>14</v>
      </c>
      <c r="AM35" t="str">
        <f t="shared" ca="1" si="2"/>
        <v>10+ Years</v>
      </c>
      <c r="AN35" t="str">
        <f t="shared" si="3"/>
        <v>Technician</v>
      </c>
    </row>
    <row r="36" spans="1:40">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W36" s="1"/>
      <c r="X36" t="s">
        <v>44</v>
      </c>
      <c r="Y36" t="s">
        <v>45</v>
      </c>
      <c r="Z36" t="s">
        <v>46</v>
      </c>
      <c r="AA36" t="s">
        <v>79</v>
      </c>
      <c r="AB36">
        <v>19</v>
      </c>
      <c r="AC36" t="s">
        <v>57</v>
      </c>
      <c r="AD36" t="s">
        <v>58</v>
      </c>
      <c r="AE36">
        <v>3.25</v>
      </c>
      <c r="AF36">
        <v>5</v>
      </c>
      <c r="AG36">
        <v>0</v>
      </c>
      <c r="AH36" s="1">
        <v>43479</v>
      </c>
      <c r="AI36">
        <v>0</v>
      </c>
      <c r="AJ36">
        <v>15</v>
      </c>
      <c r="AK36" t="str">
        <f t="shared" si="0"/>
        <v>Non-Technical</v>
      </c>
      <c r="AL36">
        <f t="shared" ca="1" si="1"/>
        <v>15</v>
      </c>
      <c r="AM36" t="str">
        <f t="shared" ca="1" si="2"/>
        <v>10+ Years</v>
      </c>
      <c r="AN36" t="str">
        <f t="shared" si="3"/>
        <v>Technician</v>
      </c>
    </row>
    <row r="37" spans="1:40">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W37" s="1"/>
      <c r="X37" t="s">
        <v>44</v>
      </c>
      <c r="Y37" t="s">
        <v>45</v>
      </c>
      <c r="Z37" t="s">
        <v>75</v>
      </c>
      <c r="AA37" t="s">
        <v>147</v>
      </c>
      <c r="AB37">
        <v>5</v>
      </c>
      <c r="AC37" t="s">
        <v>70</v>
      </c>
      <c r="AD37" t="s">
        <v>58</v>
      </c>
      <c r="AE37">
        <v>3.84</v>
      </c>
      <c r="AF37">
        <v>3</v>
      </c>
      <c r="AG37">
        <v>5</v>
      </c>
      <c r="AH37" s="1">
        <v>43486</v>
      </c>
      <c r="AI37">
        <v>0</v>
      </c>
      <c r="AJ37">
        <v>4</v>
      </c>
      <c r="AK37" t="str">
        <f t="shared" si="0"/>
        <v>Technical</v>
      </c>
      <c r="AL37">
        <f t="shared" ca="1" si="1"/>
        <v>14</v>
      </c>
      <c r="AM37" t="str">
        <f t="shared" ca="1" si="2"/>
        <v>10+ Years</v>
      </c>
      <c r="AN37" t="str">
        <f t="shared" si="3"/>
        <v>Manager</v>
      </c>
    </row>
    <row r="38" spans="1:40">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W38" s="1"/>
      <c r="X38" t="s">
        <v>44</v>
      </c>
      <c r="Y38" t="s">
        <v>45</v>
      </c>
      <c r="Z38" t="s">
        <v>46</v>
      </c>
      <c r="AA38" t="s">
        <v>131</v>
      </c>
      <c r="AB38">
        <v>2</v>
      </c>
      <c r="AC38" t="s">
        <v>57</v>
      </c>
      <c r="AD38" t="s">
        <v>49</v>
      </c>
      <c r="AE38">
        <v>5</v>
      </c>
      <c r="AF38">
        <v>3</v>
      </c>
      <c r="AG38">
        <v>0</v>
      </c>
      <c r="AH38" s="1">
        <v>43518</v>
      </c>
      <c r="AI38">
        <v>0</v>
      </c>
      <c r="AJ38">
        <v>14</v>
      </c>
      <c r="AK38" t="str">
        <f t="shared" si="0"/>
        <v>Non-Technical</v>
      </c>
      <c r="AL38">
        <f t="shared" ca="1" si="1"/>
        <v>10</v>
      </c>
      <c r="AM38" t="str">
        <f t="shared" ca="1" si="2"/>
        <v>10+ Years</v>
      </c>
      <c r="AN38" t="str">
        <f t="shared" si="3"/>
        <v>Manager</v>
      </c>
    </row>
    <row r="39" spans="1:40">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W39" s="1"/>
      <c r="X39" t="s">
        <v>44</v>
      </c>
      <c r="Y39" t="s">
        <v>45</v>
      </c>
      <c r="Z39" t="s">
        <v>75</v>
      </c>
      <c r="AA39" t="s">
        <v>76</v>
      </c>
      <c r="AB39">
        <v>10</v>
      </c>
      <c r="AC39" t="s">
        <v>57</v>
      </c>
      <c r="AD39" t="s">
        <v>58</v>
      </c>
      <c r="AE39">
        <v>4.96</v>
      </c>
      <c r="AF39">
        <v>4</v>
      </c>
      <c r="AG39">
        <v>6</v>
      </c>
      <c r="AH39" s="1">
        <v>43495</v>
      </c>
      <c r="AI39">
        <v>0</v>
      </c>
      <c r="AJ39">
        <v>3</v>
      </c>
      <c r="AK39" t="str">
        <f t="shared" si="0"/>
        <v>Technical</v>
      </c>
      <c r="AL39">
        <f t="shared" ca="1" si="1"/>
        <v>12</v>
      </c>
      <c r="AM39" t="str">
        <f t="shared" ca="1" si="2"/>
        <v>10+ Years</v>
      </c>
      <c r="AN39" t="str">
        <f t="shared" si="3"/>
        <v>Other</v>
      </c>
    </row>
    <row r="40" spans="1:40">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W40" s="1"/>
      <c r="X40" t="s">
        <v>44</v>
      </c>
      <c r="Y40" t="s">
        <v>45</v>
      </c>
      <c r="Z40" t="s">
        <v>46</v>
      </c>
      <c r="AA40" t="s">
        <v>99</v>
      </c>
      <c r="AB40">
        <v>18</v>
      </c>
      <c r="AC40" t="s">
        <v>48</v>
      </c>
      <c r="AD40" t="s">
        <v>58</v>
      </c>
      <c r="AE40">
        <v>4.43</v>
      </c>
      <c r="AF40">
        <v>3</v>
      </c>
      <c r="AG40">
        <v>0</v>
      </c>
      <c r="AH40" s="1">
        <v>43497</v>
      </c>
      <c r="AI40">
        <v>0</v>
      </c>
      <c r="AJ40">
        <v>14</v>
      </c>
      <c r="AK40" t="str">
        <f t="shared" si="0"/>
        <v>Non-Technical</v>
      </c>
      <c r="AL40">
        <f t="shared" ca="1" si="1"/>
        <v>12</v>
      </c>
      <c r="AM40" t="str">
        <f t="shared" ca="1" si="2"/>
        <v>10+ Years</v>
      </c>
      <c r="AN40" t="str">
        <f t="shared" si="3"/>
        <v>Technician</v>
      </c>
    </row>
    <row r="41" spans="1:40">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W41" s="1"/>
      <c r="X41" t="s">
        <v>44</v>
      </c>
      <c r="Y41" t="s">
        <v>45</v>
      </c>
      <c r="Z41" t="s">
        <v>55</v>
      </c>
      <c r="AA41" t="s">
        <v>56</v>
      </c>
      <c r="AB41">
        <v>4</v>
      </c>
      <c r="AC41" t="s">
        <v>48</v>
      </c>
      <c r="AD41" t="s">
        <v>58</v>
      </c>
      <c r="AE41">
        <v>5</v>
      </c>
      <c r="AF41">
        <v>5</v>
      </c>
      <c r="AG41">
        <v>6</v>
      </c>
      <c r="AH41" s="1">
        <v>43514</v>
      </c>
      <c r="AI41">
        <v>0</v>
      </c>
      <c r="AJ41">
        <v>7</v>
      </c>
      <c r="AK41" t="str">
        <f t="shared" si="0"/>
        <v>Technical</v>
      </c>
      <c r="AL41">
        <f t="shared" ca="1" si="1"/>
        <v>9</v>
      </c>
      <c r="AM41" t="str">
        <f t="shared" ca="1" si="2"/>
        <v>5-10 Years</v>
      </c>
      <c r="AN41" t="str">
        <f t="shared" si="3"/>
        <v>Other</v>
      </c>
    </row>
    <row r="42" spans="1:40">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W42" s="1"/>
      <c r="X42" t="s">
        <v>44</v>
      </c>
      <c r="Y42" t="s">
        <v>45</v>
      </c>
      <c r="Z42" t="s">
        <v>141</v>
      </c>
      <c r="AA42" t="s">
        <v>142</v>
      </c>
      <c r="AB42">
        <v>17</v>
      </c>
      <c r="AC42" t="s">
        <v>57</v>
      </c>
      <c r="AD42" t="s">
        <v>58</v>
      </c>
      <c r="AE42">
        <v>5</v>
      </c>
      <c r="AF42">
        <v>5</v>
      </c>
      <c r="AG42">
        <v>0</v>
      </c>
      <c r="AH42" s="1">
        <v>43486</v>
      </c>
      <c r="AI42">
        <v>0</v>
      </c>
      <c r="AJ42">
        <v>7</v>
      </c>
      <c r="AK42" t="str">
        <f t="shared" si="0"/>
        <v>Non-Technical</v>
      </c>
      <c r="AL42">
        <f t="shared" ca="1" si="1"/>
        <v>11</v>
      </c>
      <c r="AM42" t="str">
        <f t="shared" ca="1" si="2"/>
        <v>10+ Years</v>
      </c>
      <c r="AN42" t="str">
        <f t="shared" si="3"/>
        <v>Manager</v>
      </c>
    </row>
    <row r="43" spans="1:40">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W43" s="1"/>
      <c r="X43" t="s">
        <v>44</v>
      </c>
      <c r="Y43" t="s">
        <v>45</v>
      </c>
      <c r="Z43" t="s">
        <v>46</v>
      </c>
      <c r="AA43" t="s">
        <v>47</v>
      </c>
      <c r="AB43">
        <v>22</v>
      </c>
      <c r="AC43" t="s">
        <v>70</v>
      </c>
      <c r="AD43" t="s">
        <v>58</v>
      </c>
      <c r="AE43">
        <v>5</v>
      </c>
      <c r="AF43">
        <v>4</v>
      </c>
      <c r="AG43">
        <v>0</v>
      </c>
      <c r="AH43" s="1">
        <v>43508</v>
      </c>
      <c r="AI43">
        <v>0</v>
      </c>
      <c r="AJ43">
        <v>11</v>
      </c>
      <c r="AK43" t="str">
        <f t="shared" si="0"/>
        <v>Non-Technical</v>
      </c>
      <c r="AL43">
        <f t="shared" ca="1" si="1"/>
        <v>11</v>
      </c>
      <c r="AM43" t="str">
        <f t="shared" ca="1" si="2"/>
        <v>10+ Years</v>
      </c>
      <c r="AN43" t="str">
        <f t="shared" si="3"/>
        <v>Technician</v>
      </c>
    </row>
    <row r="44" spans="1:40">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W44" s="1"/>
      <c r="X44" t="s">
        <v>44</v>
      </c>
      <c r="Y44" t="s">
        <v>45</v>
      </c>
      <c r="Z44" t="s">
        <v>55</v>
      </c>
      <c r="AA44" t="s">
        <v>147</v>
      </c>
      <c r="AB44">
        <v>5</v>
      </c>
      <c r="AC44" t="s">
        <v>57</v>
      </c>
      <c r="AD44" t="s">
        <v>58</v>
      </c>
      <c r="AE44">
        <v>4.5</v>
      </c>
      <c r="AF44">
        <v>5</v>
      </c>
      <c r="AG44">
        <v>7</v>
      </c>
      <c r="AH44" s="1">
        <v>43480</v>
      </c>
      <c r="AI44">
        <v>0</v>
      </c>
      <c r="AJ44">
        <v>8</v>
      </c>
      <c r="AK44" t="str">
        <f t="shared" si="0"/>
        <v>Technical</v>
      </c>
      <c r="AL44">
        <f t="shared" ca="1" si="1"/>
        <v>9</v>
      </c>
      <c r="AM44" t="str">
        <f t="shared" ca="1" si="2"/>
        <v>5-10 Years</v>
      </c>
      <c r="AN44" t="str">
        <f t="shared" si="3"/>
        <v>Other</v>
      </c>
    </row>
    <row r="45" spans="1:40">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W45" s="1"/>
      <c r="X45" t="s">
        <v>44</v>
      </c>
      <c r="Y45" t="s">
        <v>45</v>
      </c>
      <c r="Z45" t="s">
        <v>46</v>
      </c>
      <c r="AA45" t="s">
        <v>65</v>
      </c>
      <c r="AB45">
        <v>16</v>
      </c>
      <c r="AC45" t="s">
        <v>57</v>
      </c>
      <c r="AD45" t="s">
        <v>58</v>
      </c>
      <c r="AE45">
        <v>3.3</v>
      </c>
      <c r="AF45">
        <v>4</v>
      </c>
      <c r="AG45">
        <v>0</v>
      </c>
      <c r="AH45" s="1">
        <v>43515</v>
      </c>
      <c r="AI45">
        <v>0</v>
      </c>
      <c r="AJ45">
        <v>11</v>
      </c>
      <c r="AK45" t="str">
        <f t="shared" si="0"/>
        <v>Non-Technical</v>
      </c>
      <c r="AL45">
        <f t="shared" ca="1" si="1"/>
        <v>11</v>
      </c>
      <c r="AM45" t="str">
        <f t="shared" ca="1" si="2"/>
        <v>10+ Years</v>
      </c>
      <c r="AN45" t="str">
        <f t="shared" si="3"/>
        <v>Technician</v>
      </c>
    </row>
    <row r="46" spans="1:40">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W46" s="1"/>
      <c r="X46" t="s">
        <v>44</v>
      </c>
      <c r="Y46" t="s">
        <v>45</v>
      </c>
      <c r="Z46" t="s">
        <v>46</v>
      </c>
      <c r="AA46" t="s">
        <v>69</v>
      </c>
      <c r="AC46" t="s">
        <v>48</v>
      </c>
      <c r="AD46" t="s">
        <v>58</v>
      </c>
      <c r="AE46">
        <v>3.8</v>
      </c>
      <c r="AF46">
        <v>5</v>
      </c>
      <c r="AG46">
        <v>0</v>
      </c>
      <c r="AH46" s="1">
        <v>43479</v>
      </c>
      <c r="AI46">
        <v>0</v>
      </c>
      <c r="AJ46">
        <v>4</v>
      </c>
      <c r="AK46" t="str">
        <f t="shared" si="0"/>
        <v>Non-Technical</v>
      </c>
      <c r="AL46">
        <f t="shared" ca="1" si="1"/>
        <v>12</v>
      </c>
      <c r="AM46" t="str">
        <f t="shared" ca="1" si="2"/>
        <v>10+ Years</v>
      </c>
      <c r="AN46" t="str">
        <f t="shared" si="3"/>
        <v>Technician</v>
      </c>
    </row>
    <row r="47" spans="1:40">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W47" s="1"/>
      <c r="X47" t="s">
        <v>44</v>
      </c>
      <c r="Y47" t="s">
        <v>45</v>
      </c>
      <c r="Z47" t="s">
        <v>141</v>
      </c>
      <c r="AA47" t="s">
        <v>160</v>
      </c>
      <c r="AB47">
        <v>21</v>
      </c>
      <c r="AC47" t="s">
        <v>80</v>
      </c>
      <c r="AD47" t="s">
        <v>58</v>
      </c>
      <c r="AE47">
        <v>3</v>
      </c>
      <c r="AF47">
        <v>5</v>
      </c>
      <c r="AG47">
        <v>0</v>
      </c>
      <c r="AH47" s="1">
        <v>43484</v>
      </c>
      <c r="AI47">
        <v>0</v>
      </c>
      <c r="AJ47">
        <v>17</v>
      </c>
      <c r="AK47" t="str">
        <f t="shared" si="0"/>
        <v>Non-Technical</v>
      </c>
      <c r="AL47">
        <f t="shared" ca="1" si="1"/>
        <v>13</v>
      </c>
      <c r="AM47" t="str">
        <f t="shared" ca="1" si="2"/>
        <v>10+ Years</v>
      </c>
      <c r="AN47" t="str">
        <f t="shared" si="3"/>
        <v>Manager</v>
      </c>
    </row>
    <row r="48" spans="1:40">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c r="AK48" t="str">
        <f t="shared" si="0"/>
        <v>Non-Technical</v>
      </c>
      <c r="AL48">
        <f t="shared" ca="1" si="1"/>
        <v>4</v>
      </c>
      <c r="AM48" t="str">
        <f t="shared" ca="1" si="2"/>
        <v>2-5 Years</v>
      </c>
      <c r="AN48" t="str">
        <f t="shared" si="3"/>
        <v>Technician</v>
      </c>
    </row>
    <row r="49" spans="1:40">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W49" s="1"/>
      <c r="X49" t="s">
        <v>44</v>
      </c>
      <c r="Y49" t="s">
        <v>45</v>
      </c>
      <c r="Z49" t="s">
        <v>46</v>
      </c>
      <c r="AA49" t="s">
        <v>79</v>
      </c>
      <c r="AB49">
        <v>19</v>
      </c>
      <c r="AC49" t="s">
        <v>57</v>
      </c>
      <c r="AD49" t="s">
        <v>58</v>
      </c>
      <c r="AE49">
        <v>3.58</v>
      </c>
      <c r="AF49">
        <v>5</v>
      </c>
      <c r="AG49">
        <v>0</v>
      </c>
      <c r="AH49" s="1">
        <v>43495</v>
      </c>
      <c r="AI49">
        <v>0</v>
      </c>
      <c r="AJ49">
        <v>3</v>
      </c>
      <c r="AK49" t="str">
        <f t="shared" si="0"/>
        <v>Non-Technical</v>
      </c>
      <c r="AL49">
        <f t="shared" ca="1" si="1"/>
        <v>14</v>
      </c>
      <c r="AM49" t="str">
        <f t="shared" ca="1" si="2"/>
        <v>10+ Years</v>
      </c>
      <c r="AN49" t="str">
        <f t="shared" si="3"/>
        <v>Technician</v>
      </c>
    </row>
    <row r="50" spans="1:40">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W50" s="1"/>
      <c r="X50" t="s">
        <v>44</v>
      </c>
      <c r="Y50" t="s">
        <v>45</v>
      </c>
      <c r="Z50" t="s">
        <v>55</v>
      </c>
      <c r="AA50" t="s">
        <v>166</v>
      </c>
      <c r="AB50">
        <v>6</v>
      </c>
      <c r="AC50" t="s">
        <v>57</v>
      </c>
      <c r="AD50" t="s">
        <v>58</v>
      </c>
      <c r="AE50">
        <v>4.7</v>
      </c>
      <c r="AF50">
        <v>3</v>
      </c>
      <c r="AG50">
        <v>6</v>
      </c>
      <c r="AH50" s="1">
        <v>43523</v>
      </c>
      <c r="AI50">
        <v>0</v>
      </c>
      <c r="AJ50">
        <v>2</v>
      </c>
      <c r="AK50" t="str">
        <f t="shared" si="0"/>
        <v>Technical</v>
      </c>
      <c r="AL50">
        <f t="shared" ca="1" si="1"/>
        <v>13</v>
      </c>
      <c r="AM50" t="str">
        <f t="shared" ca="1" si="2"/>
        <v>10+ Years</v>
      </c>
      <c r="AN50" t="str">
        <f t="shared" si="3"/>
        <v>Other</v>
      </c>
    </row>
    <row r="51" spans="1:40">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c r="AK51" t="str">
        <f t="shared" si="0"/>
        <v>Non-Technical</v>
      </c>
      <c r="AL51">
        <f t="shared" ca="1" si="1"/>
        <v>1</v>
      </c>
      <c r="AM51" t="str">
        <f t="shared" ca="1" si="2"/>
        <v>0-2 Years</v>
      </c>
      <c r="AN51" t="str">
        <f t="shared" si="3"/>
        <v>Technician</v>
      </c>
    </row>
    <row r="52" spans="1:40">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c r="AK52" t="str">
        <f t="shared" si="0"/>
        <v>Non-Technical</v>
      </c>
      <c r="AL52">
        <f t="shared" ca="1" si="1"/>
        <v>1</v>
      </c>
      <c r="AM52" t="str">
        <f t="shared" ca="1" si="2"/>
        <v>0-2 Years</v>
      </c>
      <c r="AN52" t="str">
        <f t="shared" si="3"/>
        <v>Technician</v>
      </c>
    </row>
    <row r="53" spans="1:40">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W53" s="1"/>
      <c r="X53" t="s">
        <v>44</v>
      </c>
      <c r="Y53" t="s">
        <v>45</v>
      </c>
      <c r="Z53" t="s">
        <v>46</v>
      </c>
      <c r="AA53" t="s">
        <v>83</v>
      </c>
      <c r="AB53">
        <v>12</v>
      </c>
      <c r="AC53" t="s">
        <v>80</v>
      </c>
      <c r="AD53" t="s">
        <v>49</v>
      </c>
      <c r="AE53">
        <v>4.0999999999999996</v>
      </c>
      <c r="AF53">
        <v>4</v>
      </c>
      <c r="AG53">
        <v>0</v>
      </c>
      <c r="AH53" s="1">
        <v>43524</v>
      </c>
      <c r="AI53">
        <v>0</v>
      </c>
      <c r="AJ53">
        <v>5</v>
      </c>
      <c r="AK53" t="str">
        <f t="shared" si="0"/>
        <v>Non-Technical</v>
      </c>
      <c r="AL53">
        <f t="shared" ca="1" si="1"/>
        <v>9</v>
      </c>
      <c r="AM53" t="str">
        <f t="shared" ca="1" si="2"/>
        <v>5-10 Years</v>
      </c>
      <c r="AN53" t="str">
        <f t="shared" si="3"/>
        <v>Technician</v>
      </c>
    </row>
    <row r="54" spans="1:40">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W54" s="1"/>
      <c r="X54" t="s">
        <v>44</v>
      </c>
      <c r="Y54" t="s">
        <v>45</v>
      </c>
      <c r="Z54" t="s">
        <v>46</v>
      </c>
      <c r="AA54" t="s">
        <v>91</v>
      </c>
      <c r="AB54">
        <v>14</v>
      </c>
      <c r="AC54" t="s">
        <v>80</v>
      </c>
      <c r="AD54" t="s">
        <v>58</v>
      </c>
      <c r="AE54">
        <v>4.4000000000000004</v>
      </c>
      <c r="AF54">
        <v>5</v>
      </c>
      <c r="AG54">
        <v>0</v>
      </c>
      <c r="AH54" s="1">
        <v>43479</v>
      </c>
      <c r="AI54">
        <v>0</v>
      </c>
      <c r="AJ54">
        <v>3</v>
      </c>
      <c r="AK54" t="str">
        <f t="shared" si="0"/>
        <v>Non-Technical</v>
      </c>
      <c r="AL54">
        <f t="shared" ca="1" si="1"/>
        <v>12</v>
      </c>
      <c r="AM54" t="str">
        <f t="shared" ca="1" si="2"/>
        <v>10+ Years</v>
      </c>
      <c r="AN54" t="str">
        <f t="shared" si="3"/>
        <v>Technician</v>
      </c>
    </row>
    <row r="55" spans="1:40">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c r="AK55" t="str">
        <f t="shared" si="0"/>
        <v>Non-Technical</v>
      </c>
      <c r="AL55">
        <f t="shared" ca="1" si="1"/>
        <v>5</v>
      </c>
      <c r="AM55" t="str">
        <f t="shared" ca="1" si="2"/>
        <v>5-10 Years</v>
      </c>
      <c r="AN55" t="str">
        <f t="shared" si="3"/>
        <v>Technician</v>
      </c>
    </row>
    <row r="56" spans="1:40">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W56" s="1"/>
      <c r="X56" t="s">
        <v>44</v>
      </c>
      <c r="Y56" t="s">
        <v>45</v>
      </c>
      <c r="Z56" t="s">
        <v>46</v>
      </c>
      <c r="AA56" t="s">
        <v>131</v>
      </c>
      <c r="AB56">
        <v>2</v>
      </c>
      <c r="AC56" t="s">
        <v>117</v>
      </c>
      <c r="AD56" t="s">
        <v>118</v>
      </c>
      <c r="AE56">
        <v>4.13</v>
      </c>
      <c r="AF56">
        <v>2</v>
      </c>
      <c r="AG56">
        <v>0</v>
      </c>
      <c r="AH56" s="1">
        <v>43479</v>
      </c>
      <c r="AI56">
        <v>3</v>
      </c>
      <c r="AJ56">
        <v>3</v>
      </c>
      <c r="AK56" t="str">
        <f t="shared" si="0"/>
        <v>Non-Technical</v>
      </c>
      <c r="AL56">
        <f t="shared" ca="1" si="1"/>
        <v>15</v>
      </c>
      <c r="AM56" t="str">
        <f t="shared" ca="1" si="2"/>
        <v>10+ Years</v>
      </c>
      <c r="AN56" t="str">
        <f t="shared" si="3"/>
        <v>Manager</v>
      </c>
    </row>
    <row r="57" spans="1:40">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W57" s="1"/>
      <c r="X57" t="s">
        <v>44</v>
      </c>
      <c r="Y57" t="s">
        <v>45</v>
      </c>
      <c r="Z57" t="s">
        <v>46</v>
      </c>
      <c r="AA57" t="s">
        <v>131</v>
      </c>
      <c r="AB57">
        <v>2</v>
      </c>
      <c r="AC57" t="s">
        <v>57</v>
      </c>
      <c r="AD57" t="s">
        <v>49</v>
      </c>
      <c r="AE57">
        <v>3.7</v>
      </c>
      <c r="AF57">
        <v>5</v>
      </c>
      <c r="AG57">
        <v>0</v>
      </c>
      <c r="AH57" s="1">
        <v>43500</v>
      </c>
      <c r="AI57">
        <v>0</v>
      </c>
      <c r="AJ57">
        <v>15</v>
      </c>
      <c r="AK57" t="str">
        <f t="shared" si="0"/>
        <v>Non-Technical</v>
      </c>
      <c r="AL57">
        <f t="shared" ca="1" si="1"/>
        <v>17</v>
      </c>
      <c r="AM57" t="str">
        <f t="shared" ca="1" si="2"/>
        <v>10+ Years</v>
      </c>
      <c r="AN57" t="str">
        <f t="shared" si="3"/>
        <v>Other</v>
      </c>
    </row>
    <row r="58" spans="1:40">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W58" s="1"/>
      <c r="X58" t="s">
        <v>44</v>
      </c>
      <c r="Y58" t="s">
        <v>45</v>
      </c>
      <c r="Z58" t="s">
        <v>46</v>
      </c>
      <c r="AA58" t="s">
        <v>99</v>
      </c>
      <c r="AB58">
        <v>18</v>
      </c>
      <c r="AC58" t="s">
        <v>57</v>
      </c>
      <c r="AD58" t="s">
        <v>58</v>
      </c>
      <c r="AE58">
        <v>4.7300000000000004</v>
      </c>
      <c r="AF58">
        <v>5</v>
      </c>
      <c r="AG58">
        <v>0</v>
      </c>
      <c r="AH58" s="1">
        <v>43510</v>
      </c>
      <c r="AI58">
        <v>0</v>
      </c>
      <c r="AJ58">
        <v>6</v>
      </c>
      <c r="AK58" t="str">
        <f t="shared" si="0"/>
        <v>Non-Technical</v>
      </c>
      <c r="AL58">
        <f t="shared" ca="1" si="1"/>
        <v>11</v>
      </c>
      <c r="AM58" t="str">
        <f t="shared" ca="1" si="2"/>
        <v>10+ Years</v>
      </c>
      <c r="AN58" t="str">
        <f t="shared" si="3"/>
        <v>Technician</v>
      </c>
    </row>
    <row r="59" spans="1:40">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W59" s="1"/>
      <c r="X59" t="s">
        <v>44</v>
      </c>
      <c r="Y59" t="s">
        <v>45</v>
      </c>
      <c r="Z59" t="s">
        <v>55</v>
      </c>
      <c r="AA59" t="s">
        <v>56</v>
      </c>
      <c r="AB59">
        <v>4</v>
      </c>
      <c r="AC59" t="s">
        <v>57</v>
      </c>
      <c r="AD59" t="s">
        <v>58</v>
      </c>
      <c r="AE59">
        <v>3.04</v>
      </c>
      <c r="AF59">
        <v>3</v>
      </c>
      <c r="AG59">
        <v>6</v>
      </c>
      <c r="AH59" s="1">
        <v>43487</v>
      </c>
      <c r="AI59">
        <v>0</v>
      </c>
      <c r="AJ59">
        <v>2</v>
      </c>
      <c r="AK59" t="str">
        <f t="shared" si="0"/>
        <v>Technical</v>
      </c>
      <c r="AL59">
        <f t="shared" ca="1" si="1"/>
        <v>11</v>
      </c>
      <c r="AM59" t="str">
        <f t="shared" ca="1" si="2"/>
        <v>10+ Years</v>
      </c>
      <c r="AN59" t="str">
        <f t="shared" si="3"/>
        <v>Other</v>
      </c>
    </row>
    <row r="60" spans="1:40">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W60" s="1"/>
      <c r="X60" t="s">
        <v>44</v>
      </c>
      <c r="Y60" t="s">
        <v>45</v>
      </c>
      <c r="Z60" t="s">
        <v>46</v>
      </c>
      <c r="AA60" t="s">
        <v>47</v>
      </c>
      <c r="AB60">
        <v>22</v>
      </c>
      <c r="AC60" t="s">
        <v>48</v>
      </c>
      <c r="AD60" t="s">
        <v>58</v>
      </c>
      <c r="AE60">
        <v>4.12</v>
      </c>
      <c r="AF60">
        <v>5</v>
      </c>
      <c r="AG60">
        <v>0</v>
      </c>
      <c r="AH60" s="1">
        <v>43493</v>
      </c>
      <c r="AI60">
        <v>0</v>
      </c>
      <c r="AJ60">
        <v>15</v>
      </c>
      <c r="AK60" t="str">
        <f t="shared" si="0"/>
        <v>Non-Technical</v>
      </c>
      <c r="AL60">
        <f t="shared" ca="1" si="1"/>
        <v>9</v>
      </c>
      <c r="AM60" t="str">
        <f t="shared" ca="1" si="2"/>
        <v>5-10 Years</v>
      </c>
      <c r="AN60" t="str">
        <f t="shared" si="3"/>
        <v>Technician</v>
      </c>
    </row>
    <row r="61" spans="1:40">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W61" s="1"/>
      <c r="X61" t="s">
        <v>44</v>
      </c>
      <c r="Y61" t="s">
        <v>45</v>
      </c>
      <c r="Z61" t="s">
        <v>55</v>
      </c>
      <c r="AA61" t="s">
        <v>87</v>
      </c>
      <c r="AB61">
        <v>7</v>
      </c>
      <c r="AC61" t="s">
        <v>80</v>
      </c>
      <c r="AD61" t="s">
        <v>58</v>
      </c>
      <c r="AE61">
        <v>5</v>
      </c>
      <c r="AF61">
        <v>3</v>
      </c>
      <c r="AG61">
        <v>4</v>
      </c>
      <c r="AH61" s="1">
        <v>43467</v>
      </c>
      <c r="AI61">
        <v>0</v>
      </c>
      <c r="AJ61">
        <v>5</v>
      </c>
      <c r="AK61" t="str">
        <f t="shared" si="0"/>
        <v>Technical</v>
      </c>
      <c r="AL61">
        <f t="shared" ca="1" si="1"/>
        <v>11</v>
      </c>
      <c r="AM61" t="str">
        <f t="shared" ca="1" si="2"/>
        <v>10+ Years</v>
      </c>
      <c r="AN61" t="str">
        <f t="shared" si="3"/>
        <v>Other</v>
      </c>
    </row>
    <row r="62" spans="1:40">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W62" s="1"/>
      <c r="X62" t="s">
        <v>44</v>
      </c>
      <c r="Y62" t="s">
        <v>45</v>
      </c>
      <c r="Z62" t="s">
        <v>141</v>
      </c>
      <c r="AA62" t="s">
        <v>182</v>
      </c>
      <c r="AB62">
        <v>15</v>
      </c>
      <c r="AC62" t="s">
        <v>57</v>
      </c>
      <c r="AD62" t="s">
        <v>58</v>
      </c>
      <c r="AE62">
        <v>4.62</v>
      </c>
      <c r="AF62">
        <v>4</v>
      </c>
      <c r="AG62">
        <v>0</v>
      </c>
      <c r="AH62" s="1">
        <v>43489</v>
      </c>
      <c r="AI62">
        <v>0</v>
      </c>
      <c r="AJ62">
        <v>8</v>
      </c>
      <c r="AK62" t="str">
        <f t="shared" si="0"/>
        <v>Non-Technical</v>
      </c>
      <c r="AL62">
        <f t="shared" ca="1" si="1"/>
        <v>11</v>
      </c>
      <c r="AM62" t="str">
        <f t="shared" ca="1" si="2"/>
        <v>10+ Years</v>
      </c>
      <c r="AN62" t="str">
        <f t="shared" si="3"/>
        <v>Manager</v>
      </c>
    </row>
    <row r="63" spans="1:40">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W63" s="1"/>
      <c r="X63" t="s">
        <v>44</v>
      </c>
      <c r="Y63" t="s">
        <v>45</v>
      </c>
      <c r="Z63" t="s">
        <v>55</v>
      </c>
      <c r="AA63" t="s">
        <v>87</v>
      </c>
      <c r="AB63">
        <v>7</v>
      </c>
      <c r="AC63" t="s">
        <v>48</v>
      </c>
      <c r="AD63" t="s">
        <v>58</v>
      </c>
      <c r="AE63">
        <v>3.1</v>
      </c>
      <c r="AF63">
        <v>5</v>
      </c>
      <c r="AG63">
        <v>8</v>
      </c>
      <c r="AH63" s="1">
        <v>43508</v>
      </c>
      <c r="AI63">
        <v>0</v>
      </c>
      <c r="AJ63">
        <v>19</v>
      </c>
      <c r="AK63" t="str">
        <f t="shared" si="0"/>
        <v>Technical</v>
      </c>
      <c r="AL63">
        <f t="shared" ca="1" si="1"/>
        <v>11</v>
      </c>
      <c r="AM63" t="str">
        <f t="shared" ca="1" si="2"/>
        <v>10+ Years</v>
      </c>
      <c r="AN63" t="str">
        <f t="shared" si="3"/>
        <v>Other</v>
      </c>
    </row>
    <row r="64" spans="1:40">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W64" s="1"/>
      <c r="X64" t="s">
        <v>44</v>
      </c>
      <c r="Y64" t="s">
        <v>45</v>
      </c>
      <c r="Z64" t="s">
        <v>46</v>
      </c>
      <c r="AA64" t="s">
        <v>65</v>
      </c>
      <c r="AB64">
        <v>16</v>
      </c>
      <c r="AC64" t="s">
        <v>57</v>
      </c>
      <c r="AD64" t="s">
        <v>58</v>
      </c>
      <c r="AE64">
        <v>5</v>
      </c>
      <c r="AF64">
        <v>3</v>
      </c>
      <c r="AG64">
        <v>0</v>
      </c>
      <c r="AH64" s="1">
        <v>43521</v>
      </c>
      <c r="AI64">
        <v>0</v>
      </c>
      <c r="AJ64">
        <v>1</v>
      </c>
      <c r="AK64" t="str">
        <f t="shared" si="0"/>
        <v>Non-Technical</v>
      </c>
      <c r="AL64">
        <f t="shared" ca="1" si="1"/>
        <v>13</v>
      </c>
      <c r="AM64" t="str">
        <f t="shared" ca="1" si="2"/>
        <v>10+ Years</v>
      </c>
      <c r="AN64" t="str">
        <f t="shared" si="3"/>
        <v>Technician</v>
      </c>
    </row>
    <row r="65" spans="1:40">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W65" s="1"/>
      <c r="X65" t="s">
        <v>44</v>
      </c>
      <c r="Y65" t="s">
        <v>45</v>
      </c>
      <c r="Z65" t="s">
        <v>46</v>
      </c>
      <c r="AA65" t="s">
        <v>63</v>
      </c>
      <c r="AB65">
        <v>20</v>
      </c>
      <c r="AC65" t="s">
        <v>48</v>
      </c>
      <c r="AD65" t="s">
        <v>58</v>
      </c>
      <c r="AE65">
        <v>3.96</v>
      </c>
      <c r="AF65">
        <v>4</v>
      </c>
      <c r="AG65">
        <v>0</v>
      </c>
      <c r="AH65" s="1">
        <v>43523</v>
      </c>
      <c r="AI65">
        <v>0</v>
      </c>
      <c r="AJ65">
        <v>6</v>
      </c>
      <c r="AK65" t="str">
        <f t="shared" si="0"/>
        <v>Non-Technical</v>
      </c>
      <c r="AL65">
        <f t="shared" ca="1" si="1"/>
        <v>14</v>
      </c>
      <c r="AM65" t="str">
        <f t="shared" ca="1" si="2"/>
        <v>10+ Years</v>
      </c>
      <c r="AN65" t="str">
        <f t="shared" si="3"/>
        <v>Technician</v>
      </c>
    </row>
    <row r="66" spans="1:40">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W66" s="1"/>
      <c r="X66" t="s">
        <v>44</v>
      </c>
      <c r="Y66" t="s">
        <v>45</v>
      </c>
      <c r="Z66" t="s">
        <v>46</v>
      </c>
      <c r="AA66" t="s">
        <v>83</v>
      </c>
      <c r="AB66">
        <v>12</v>
      </c>
      <c r="AC66" t="s">
        <v>57</v>
      </c>
      <c r="AD66" t="s">
        <v>58</v>
      </c>
      <c r="AE66">
        <v>4.3</v>
      </c>
      <c r="AF66">
        <v>4</v>
      </c>
      <c r="AG66">
        <v>3</v>
      </c>
      <c r="AH66" s="1">
        <v>43496</v>
      </c>
      <c r="AI66">
        <v>2</v>
      </c>
      <c r="AJ66">
        <v>2</v>
      </c>
      <c r="AK66" t="str">
        <f t="shared" ref="AK66:AK129" si="4">IF(OR(Z66="IT/IS",Z66="Software Engineering"),"Technical","Non-Technical")</f>
        <v>Non-Technical</v>
      </c>
      <c r="AL66">
        <f t="shared" ref="AL66:AL129" ca="1" si="5">IF(W66="",DATEDIF(V66,TODAY(),"Y"),DATEDIF(V66,W66,"Y"))</f>
        <v>7</v>
      </c>
      <c r="AM66" t="str">
        <f t="shared" ref="AM66:AM129" ca="1" si="6">IF(AL66&lt;2,"0-2 Years",
IF(AL66&lt;5,"2-5 Years",
IF(AL66&lt;10,"5-10 Years","10+ Years")))</f>
        <v>5-10 Years</v>
      </c>
      <c r="AN66" t="str">
        <f t="shared" ref="AN66:AN129" si="7">IF(ISNUMBER(SEARCH("Manager",M66)),"Manager",
IF(ISNUMBER(SEARCH("Technician",M66)),"Technician","Other"))</f>
        <v>Technician</v>
      </c>
    </row>
    <row r="67" spans="1:40">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c r="AK67" t="str">
        <f t="shared" si="4"/>
        <v>Non-Technical</v>
      </c>
      <c r="AL67">
        <f t="shared" ca="1" si="5"/>
        <v>5</v>
      </c>
      <c r="AM67" t="str">
        <f t="shared" ca="1" si="6"/>
        <v>5-10 Years</v>
      </c>
      <c r="AN67" t="str">
        <f t="shared" si="7"/>
        <v>Technician</v>
      </c>
    </row>
    <row r="68" spans="1:40">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W68" s="1"/>
      <c r="X68" t="s">
        <v>44</v>
      </c>
      <c r="Y68" t="s">
        <v>45</v>
      </c>
      <c r="Z68" t="s">
        <v>75</v>
      </c>
      <c r="AA68" t="s">
        <v>76</v>
      </c>
      <c r="AB68">
        <v>10</v>
      </c>
      <c r="AC68" t="s">
        <v>117</v>
      </c>
      <c r="AD68" t="s">
        <v>58</v>
      </c>
      <c r="AE68">
        <v>3.79</v>
      </c>
      <c r="AF68">
        <v>5</v>
      </c>
      <c r="AG68">
        <v>5</v>
      </c>
      <c r="AH68" s="1">
        <v>43490</v>
      </c>
      <c r="AI68">
        <v>0</v>
      </c>
      <c r="AJ68">
        <v>8</v>
      </c>
      <c r="AK68" t="str">
        <f t="shared" si="4"/>
        <v>Technical</v>
      </c>
      <c r="AL68">
        <f t="shared" ca="1" si="5"/>
        <v>14</v>
      </c>
      <c r="AM68" t="str">
        <f t="shared" ca="1" si="6"/>
        <v>10+ Years</v>
      </c>
      <c r="AN68" t="str">
        <f t="shared" si="7"/>
        <v>Other</v>
      </c>
    </row>
    <row r="69" spans="1:40">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W69" s="1"/>
      <c r="X69" t="s">
        <v>44</v>
      </c>
      <c r="Y69" t="s">
        <v>45</v>
      </c>
      <c r="Z69" t="s">
        <v>141</v>
      </c>
      <c r="AA69" t="s">
        <v>142</v>
      </c>
      <c r="AB69">
        <v>17</v>
      </c>
      <c r="AC69" t="s">
        <v>57</v>
      </c>
      <c r="AD69" t="s">
        <v>191</v>
      </c>
      <c r="AE69">
        <v>1.93</v>
      </c>
      <c r="AF69">
        <v>3</v>
      </c>
      <c r="AG69">
        <v>0</v>
      </c>
      <c r="AH69" s="1">
        <v>43495</v>
      </c>
      <c r="AI69">
        <v>6</v>
      </c>
      <c r="AJ69">
        <v>5</v>
      </c>
      <c r="AK69" t="str">
        <f t="shared" si="4"/>
        <v>Non-Technical</v>
      </c>
      <c r="AL69">
        <f t="shared" ca="1" si="5"/>
        <v>11</v>
      </c>
      <c r="AM69" t="str">
        <f t="shared" ca="1" si="6"/>
        <v>10+ Years</v>
      </c>
      <c r="AN69" t="str">
        <f t="shared" si="7"/>
        <v>Manager</v>
      </c>
    </row>
    <row r="70" spans="1:40">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c r="AK70" t="str">
        <f t="shared" si="4"/>
        <v>Non-Technical</v>
      </c>
      <c r="AL70">
        <f t="shared" ca="1" si="5"/>
        <v>4</v>
      </c>
      <c r="AM70" t="str">
        <f t="shared" ca="1" si="6"/>
        <v>2-5 Years</v>
      </c>
      <c r="AN70" t="str">
        <f t="shared" si="7"/>
        <v>Technician</v>
      </c>
    </row>
    <row r="71" spans="1:40">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W71" s="1"/>
      <c r="X71" t="s">
        <v>44</v>
      </c>
      <c r="Y71" t="s">
        <v>45</v>
      </c>
      <c r="Z71" t="s">
        <v>46</v>
      </c>
      <c r="AA71" t="s">
        <v>72</v>
      </c>
      <c r="AB71">
        <v>11</v>
      </c>
      <c r="AC71" t="s">
        <v>57</v>
      </c>
      <c r="AD71" t="s">
        <v>191</v>
      </c>
      <c r="AE71">
        <v>1.1200000000000001</v>
      </c>
      <c r="AF71">
        <v>2</v>
      </c>
      <c r="AG71">
        <v>0</v>
      </c>
      <c r="AH71" s="1">
        <v>43496</v>
      </c>
      <c r="AI71">
        <v>4</v>
      </c>
      <c r="AJ71">
        <v>9</v>
      </c>
      <c r="AK71" t="str">
        <f t="shared" si="4"/>
        <v>Non-Technical</v>
      </c>
      <c r="AL71">
        <f t="shared" ca="1" si="5"/>
        <v>11</v>
      </c>
      <c r="AM71" t="str">
        <f t="shared" ca="1" si="6"/>
        <v>10+ Years</v>
      </c>
      <c r="AN71" t="str">
        <f t="shared" si="7"/>
        <v>Technician</v>
      </c>
    </row>
    <row r="72" spans="1:40">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W72" s="1"/>
      <c r="X72" t="s">
        <v>44</v>
      </c>
      <c r="Y72" t="s">
        <v>45</v>
      </c>
      <c r="Z72" t="s">
        <v>55</v>
      </c>
      <c r="AA72" t="s">
        <v>197</v>
      </c>
      <c r="AB72">
        <v>13</v>
      </c>
      <c r="AC72" t="s">
        <v>57</v>
      </c>
      <c r="AD72" t="s">
        <v>58</v>
      </c>
      <c r="AE72">
        <v>3.01</v>
      </c>
      <c r="AF72">
        <v>5</v>
      </c>
      <c r="AG72">
        <v>7</v>
      </c>
      <c r="AH72" s="1">
        <v>43488</v>
      </c>
      <c r="AI72">
        <v>0</v>
      </c>
      <c r="AJ72">
        <v>15</v>
      </c>
      <c r="AK72" t="str">
        <f t="shared" si="4"/>
        <v>Technical</v>
      </c>
      <c r="AL72">
        <f t="shared" ca="1" si="5"/>
        <v>9</v>
      </c>
      <c r="AM72" t="str">
        <f t="shared" ca="1" si="6"/>
        <v>5-10 Years</v>
      </c>
      <c r="AN72" t="str">
        <f t="shared" si="7"/>
        <v>Other</v>
      </c>
    </row>
    <row r="73" spans="1:40">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W73" s="1"/>
      <c r="X73" t="s">
        <v>44</v>
      </c>
      <c r="Y73" t="s">
        <v>45</v>
      </c>
      <c r="Z73" t="s">
        <v>46</v>
      </c>
      <c r="AA73" t="s">
        <v>79</v>
      </c>
      <c r="AB73">
        <v>19</v>
      </c>
      <c r="AC73" t="s">
        <v>57</v>
      </c>
      <c r="AD73" t="s">
        <v>58</v>
      </c>
      <c r="AE73">
        <v>4.3</v>
      </c>
      <c r="AF73">
        <v>4</v>
      </c>
      <c r="AG73">
        <v>0</v>
      </c>
      <c r="AH73" s="1">
        <v>43515</v>
      </c>
      <c r="AI73">
        <v>0</v>
      </c>
      <c r="AJ73">
        <v>1</v>
      </c>
      <c r="AK73" t="str">
        <f t="shared" si="4"/>
        <v>Non-Technical</v>
      </c>
      <c r="AL73">
        <f t="shared" ca="1" si="5"/>
        <v>11</v>
      </c>
      <c r="AM73" t="str">
        <f t="shared" ca="1" si="6"/>
        <v>10+ Years</v>
      </c>
      <c r="AN73" t="str">
        <f t="shared" si="7"/>
        <v>Technician</v>
      </c>
    </row>
    <row r="74" spans="1:40">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W74" s="1"/>
      <c r="X74" t="s">
        <v>44</v>
      </c>
      <c r="Y74" t="s">
        <v>45</v>
      </c>
      <c r="Z74" t="s">
        <v>141</v>
      </c>
      <c r="AA74" t="s">
        <v>142</v>
      </c>
      <c r="AB74">
        <v>17</v>
      </c>
      <c r="AC74" t="s">
        <v>201</v>
      </c>
      <c r="AD74" t="s">
        <v>191</v>
      </c>
      <c r="AE74">
        <v>2.2999999999999998</v>
      </c>
      <c r="AF74">
        <v>1</v>
      </c>
      <c r="AG74">
        <v>0</v>
      </c>
      <c r="AH74" s="1">
        <v>43494</v>
      </c>
      <c r="AI74">
        <v>2</v>
      </c>
      <c r="AJ74">
        <v>17</v>
      </c>
      <c r="AK74" t="str">
        <f t="shared" si="4"/>
        <v>Non-Technical</v>
      </c>
      <c r="AL74">
        <f t="shared" ca="1" si="5"/>
        <v>14</v>
      </c>
      <c r="AM74" t="str">
        <f t="shared" ca="1" si="6"/>
        <v>10+ Years</v>
      </c>
      <c r="AN74" t="str">
        <f t="shared" si="7"/>
        <v>Manager</v>
      </c>
    </row>
    <row r="75" spans="1:40">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W75" s="1"/>
      <c r="X75" t="s">
        <v>44</v>
      </c>
      <c r="Y75" t="s">
        <v>45</v>
      </c>
      <c r="Z75" t="s">
        <v>46</v>
      </c>
      <c r="AA75" t="s">
        <v>83</v>
      </c>
      <c r="AB75">
        <v>12</v>
      </c>
      <c r="AC75" t="s">
        <v>57</v>
      </c>
      <c r="AD75" t="s">
        <v>118</v>
      </c>
      <c r="AE75">
        <v>3.88</v>
      </c>
      <c r="AF75">
        <v>4</v>
      </c>
      <c r="AG75">
        <v>0</v>
      </c>
      <c r="AH75" s="1">
        <v>43483</v>
      </c>
      <c r="AI75">
        <v>0</v>
      </c>
      <c r="AJ75">
        <v>6</v>
      </c>
      <c r="AK75" t="str">
        <f t="shared" si="4"/>
        <v>Non-Technical</v>
      </c>
      <c r="AL75">
        <f t="shared" ca="1" si="5"/>
        <v>13</v>
      </c>
      <c r="AM75" t="str">
        <f t="shared" ca="1" si="6"/>
        <v>10+ Years</v>
      </c>
      <c r="AN75" t="str">
        <f t="shared" si="7"/>
        <v>Technician</v>
      </c>
    </row>
    <row r="76" spans="1:40">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W76" s="1"/>
      <c r="X76" t="s">
        <v>44</v>
      </c>
      <c r="Y76" t="s">
        <v>45</v>
      </c>
      <c r="Z76" t="s">
        <v>46</v>
      </c>
      <c r="AA76" t="s">
        <v>91</v>
      </c>
      <c r="AB76">
        <v>14</v>
      </c>
      <c r="AC76" t="s">
        <v>117</v>
      </c>
      <c r="AD76" t="s">
        <v>58</v>
      </c>
      <c r="AE76">
        <v>3.4</v>
      </c>
      <c r="AF76">
        <v>5</v>
      </c>
      <c r="AG76">
        <v>0</v>
      </c>
      <c r="AH76" s="1">
        <v>43515</v>
      </c>
      <c r="AI76">
        <v>0</v>
      </c>
      <c r="AJ76">
        <v>15</v>
      </c>
      <c r="AK76" t="str">
        <f t="shared" si="4"/>
        <v>Non-Technical</v>
      </c>
      <c r="AL76">
        <f t="shared" ca="1" si="5"/>
        <v>14</v>
      </c>
      <c r="AM76" t="str">
        <f t="shared" ca="1" si="6"/>
        <v>10+ Years</v>
      </c>
      <c r="AN76" t="str">
        <f t="shared" si="7"/>
        <v>Technician</v>
      </c>
    </row>
    <row r="77" spans="1:40">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W77" s="1"/>
      <c r="X77" t="s">
        <v>44</v>
      </c>
      <c r="Y77" t="s">
        <v>45</v>
      </c>
      <c r="Z77" t="s">
        <v>55</v>
      </c>
      <c r="AA77" t="s">
        <v>87</v>
      </c>
      <c r="AB77">
        <v>7</v>
      </c>
      <c r="AC77" t="s">
        <v>80</v>
      </c>
      <c r="AD77" t="s">
        <v>58</v>
      </c>
      <c r="AE77">
        <v>4.1100000000000003</v>
      </c>
      <c r="AF77">
        <v>4</v>
      </c>
      <c r="AG77">
        <v>6</v>
      </c>
      <c r="AH77" s="1">
        <v>43521</v>
      </c>
      <c r="AI77">
        <v>0</v>
      </c>
      <c r="AJ77">
        <v>16</v>
      </c>
      <c r="AK77" t="str">
        <f t="shared" si="4"/>
        <v>Technical</v>
      </c>
      <c r="AL77">
        <f t="shared" ca="1" si="5"/>
        <v>11</v>
      </c>
      <c r="AM77" t="str">
        <f t="shared" ca="1" si="6"/>
        <v>10+ Years</v>
      </c>
      <c r="AN77" t="str">
        <f t="shared" si="7"/>
        <v>Other</v>
      </c>
    </row>
    <row r="78" spans="1:40">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W78" s="1"/>
      <c r="X78" t="s">
        <v>44</v>
      </c>
      <c r="Y78" t="s">
        <v>45</v>
      </c>
      <c r="Z78" t="s">
        <v>55</v>
      </c>
      <c r="AA78" t="s">
        <v>147</v>
      </c>
      <c r="AB78">
        <v>5</v>
      </c>
      <c r="AC78" t="s">
        <v>57</v>
      </c>
      <c r="AD78" t="s">
        <v>49</v>
      </c>
      <c r="AE78">
        <v>4.3</v>
      </c>
      <c r="AF78">
        <v>5</v>
      </c>
      <c r="AG78">
        <v>5</v>
      </c>
      <c r="AH78" s="1">
        <v>43469</v>
      </c>
      <c r="AI78">
        <v>0</v>
      </c>
      <c r="AJ78">
        <v>4</v>
      </c>
      <c r="AK78" t="str">
        <f t="shared" si="4"/>
        <v>Technical</v>
      </c>
      <c r="AL78">
        <f t="shared" ca="1" si="5"/>
        <v>12</v>
      </c>
      <c r="AM78" t="str">
        <f t="shared" ca="1" si="6"/>
        <v>10+ Years</v>
      </c>
      <c r="AN78" t="str">
        <f t="shared" si="7"/>
        <v>Manager</v>
      </c>
    </row>
    <row r="79" spans="1:40">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W79" s="1"/>
      <c r="X79" t="s">
        <v>44</v>
      </c>
      <c r="Y79" t="s">
        <v>45</v>
      </c>
      <c r="Z79" t="s">
        <v>141</v>
      </c>
      <c r="AA79" t="s">
        <v>160</v>
      </c>
      <c r="AB79">
        <v>21</v>
      </c>
      <c r="AC79" t="s">
        <v>57</v>
      </c>
      <c r="AD79" t="s">
        <v>49</v>
      </c>
      <c r="AE79">
        <v>4.7699999999999996</v>
      </c>
      <c r="AF79">
        <v>5</v>
      </c>
      <c r="AG79">
        <v>0</v>
      </c>
      <c r="AH79" s="1">
        <v>43492</v>
      </c>
      <c r="AI79">
        <v>0</v>
      </c>
      <c r="AJ79">
        <v>14</v>
      </c>
      <c r="AK79" t="str">
        <f t="shared" si="4"/>
        <v>Non-Technical</v>
      </c>
      <c r="AL79">
        <f t="shared" ca="1" si="5"/>
        <v>15</v>
      </c>
      <c r="AM79" t="str">
        <f t="shared" ca="1" si="6"/>
        <v>10+ Years</v>
      </c>
      <c r="AN79" t="str">
        <f t="shared" si="7"/>
        <v>Manager</v>
      </c>
    </row>
    <row r="80" spans="1:40">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W80" s="1"/>
      <c r="X80" t="s">
        <v>44</v>
      </c>
      <c r="Y80" t="s">
        <v>45</v>
      </c>
      <c r="Z80" t="s">
        <v>46</v>
      </c>
      <c r="AA80" t="s">
        <v>131</v>
      </c>
      <c r="AB80">
        <v>2</v>
      </c>
      <c r="AC80" t="s">
        <v>70</v>
      </c>
      <c r="AD80" t="s">
        <v>58</v>
      </c>
      <c r="AE80">
        <v>4.5199999999999996</v>
      </c>
      <c r="AF80">
        <v>4</v>
      </c>
      <c r="AG80">
        <v>0</v>
      </c>
      <c r="AH80" s="1">
        <v>43480</v>
      </c>
      <c r="AI80">
        <v>0</v>
      </c>
      <c r="AJ80">
        <v>4</v>
      </c>
      <c r="AK80" t="str">
        <f t="shared" si="4"/>
        <v>Non-Technical</v>
      </c>
      <c r="AL80">
        <f t="shared" ca="1" si="5"/>
        <v>11</v>
      </c>
      <c r="AM80" t="str">
        <f t="shared" ca="1" si="6"/>
        <v>10+ Years</v>
      </c>
      <c r="AN80" t="str">
        <f t="shared" si="7"/>
        <v>Manager</v>
      </c>
    </row>
    <row r="81" spans="1:40">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W81" s="1"/>
      <c r="X81" t="s">
        <v>44</v>
      </c>
      <c r="Y81" t="s">
        <v>45</v>
      </c>
      <c r="Z81" t="s">
        <v>46</v>
      </c>
      <c r="AA81" t="s">
        <v>79</v>
      </c>
      <c r="AB81">
        <v>19</v>
      </c>
      <c r="AC81" t="s">
        <v>70</v>
      </c>
      <c r="AD81" t="s">
        <v>58</v>
      </c>
      <c r="AE81">
        <v>2.9</v>
      </c>
      <c r="AF81">
        <v>3</v>
      </c>
      <c r="AG81">
        <v>0</v>
      </c>
      <c r="AH81" s="1">
        <v>43486</v>
      </c>
      <c r="AI81">
        <v>0</v>
      </c>
      <c r="AJ81">
        <v>6</v>
      </c>
      <c r="AK81" t="str">
        <f t="shared" si="4"/>
        <v>Non-Technical</v>
      </c>
      <c r="AL81">
        <f t="shared" ca="1" si="5"/>
        <v>15</v>
      </c>
      <c r="AM81" t="str">
        <f t="shared" ca="1" si="6"/>
        <v>10+ Years</v>
      </c>
      <c r="AN81" t="str">
        <f t="shared" si="7"/>
        <v>Technician</v>
      </c>
    </row>
    <row r="82" spans="1:40">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c r="AK82" t="str">
        <f t="shared" si="4"/>
        <v>Non-Technical</v>
      </c>
      <c r="AL82">
        <f t="shared" ca="1" si="5"/>
        <v>6</v>
      </c>
      <c r="AM82" t="str">
        <f t="shared" ca="1" si="6"/>
        <v>5-10 Years</v>
      </c>
      <c r="AN82" t="str">
        <f t="shared" si="7"/>
        <v>Technician</v>
      </c>
    </row>
    <row r="83" spans="1:40">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W83" s="1"/>
      <c r="X83" t="s">
        <v>44</v>
      </c>
      <c r="Y83" t="s">
        <v>45</v>
      </c>
      <c r="Z83" t="s">
        <v>46</v>
      </c>
      <c r="AA83" t="s">
        <v>99</v>
      </c>
      <c r="AB83">
        <v>18</v>
      </c>
      <c r="AC83" t="s">
        <v>48</v>
      </c>
      <c r="AD83" t="s">
        <v>58</v>
      </c>
      <c r="AE83">
        <v>4.7</v>
      </c>
      <c r="AF83">
        <v>5</v>
      </c>
      <c r="AG83">
        <v>0</v>
      </c>
      <c r="AH83" s="1">
        <v>43509</v>
      </c>
      <c r="AI83">
        <v>0</v>
      </c>
      <c r="AJ83">
        <v>8</v>
      </c>
      <c r="AK83" t="str">
        <f t="shared" si="4"/>
        <v>Non-Technical</v>
      </c>
      <c r="AL83">
        <f t="shared" ca="1" si="5"/>
        <v>11</v>
      </c>
      <c r="AM83" t="str">
        <f t="shared" ca="1" si="6"/>
        <v>10+ Years</v>
      </c>
      <c r="AN83" t="str">
        <f t="shared" si="7"/>
        <v>Technician</v>
      </c>
    </row>
    <row r="84" spans="1:40">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W84" s="1"/>
      <c r="X84" t="s">
        <v>44</v>
      </c>
      <c r="Y84" t="s">
        <v>45</v>
      </c>
      <c r="Z84" t="s">
        <v>46</v>
      </c>
      <c r="AA84" t="s">
        <v>99</v>
      </c>
      <c r="AB84">
        <v>18</v>
      </c>
      <c r="AC84" t="s">
        <v>80</v>
      </c>
      <c r="AD84" t="s">
        <v>58</v>
      </c>
      <c r="AE84">
        <v>4.2</v>
      </c>
      <c r="AF84">
        <v>3</v>
      </c>
      <c r="AG84">
        <v>0</v>
      </c>
      <c r="AH84" s="1">
        <v>43476</v>
      </c>
      <c r="AI84">
        <v>0</v>
      </c>
      <c r="AJ84">
        <v>3</v>
      </c>
      <c r="AK84" t="str">
        <f t="shared" si="4"/>
        <v>Non-Technical</v>
      </c>
      <c r="AL84">
        <f t="shared" ca="1" si="5"/>
        <v>12</v>
      </c>
      <c r="AM84" t="str">
        <f t="shared" ca="1" si="6"/>
        <v>10+ Years</v>
      </c>
      <c r="AN84" t="str">
        <f t="shared" si="7"/>
        <v>Technician</v>
      </c>
    </row>
    <row r="85" spans="1:40">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W85" s="1"/>
      <c r="X85" t="s">
        <v>44</v>
      </c>
      <c r="Y85" t="s">
        <v>45</v>
      </c>
      <c r="Z85" t="s">
        <v>46</v>
      </c>
      <c r="AA85" t="s">
        <v>47</v>
      </c>
      <c r="AB85">
        <v>22</v>
      </c>
      <c r="AC85" t="s">
        <v>57</v>
      </c>
      <c r="AD85" t="s">
        <v>191</v>
      </c>
      <c r="AE85">
        <v>3</v>
      </c>
      <c r="AF85">
        <v>1</v>
      </c>
      <c r="AG85">
        <v>0</v>
      </c>
      <c r="AH85" s="1">
        <v>43521</v>
      </c>
      <c r="AI85">
        <v>2</v>
      </c>
      <c r="AJ85">
        <v>5</v>
      </c>
      <c r="AK85" t="str">
        <f t="shared" si="4"/>
        <v>Non-Technical</v>
      </c>
      <c r="AL85">
        <f t="shared" ca="1" si="5"/>
        <v>11</v>
      </c>
      <c r="AM85" t="str">
        <f t="shared" ca="1" si="6"/>
        <v>10+ Years</v>
      </c>
      <c r="AN85" t="str">
        <f t="shared" si="7"/>
        <v>Technician</v>
      </c>
    </row>
    <row r="86" spans="1:40">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c r="AK86" t="str">
        <f t="shared" si="4"/>
        <v>Non-Technical</v>
      </c>
      <c r="AL86">
        <f t="shared" ca="1" si="5"/>
        <v>6</v>
      </c>
      <c r="AM86" t="str">
        <f t="shared" ca="1" si="6"/>
        <v>5-10 Years</v>
      </c>
      <c r="AN86" t="str">
        <f t="shared" si="7"/>
        <v>Technician</v>
      </c>
    </row>
    <row r="87" spans="1:40">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c r="AK87" t="str">
        <f t="shared" si="4"/>
        <v>Non-Technical</v>
      </c>
      <c r="AL87">
        <f t="shared" ca="1" si="5"/>
        <v>4</v>
      </c>
      <c r="AM87" t="str">
        <f t="shared" ca="1" si="6"/>
        <v>2-5 Years</v>
      </c>
      <c r="AN87" t="str">
        <f t="shared" si="7"/>
        <v>Technician</v>
      </c>
    </row>
    <row r="88" spans="1:40">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c r="AK88" t="str">
        <f t="shared" si="4"/>
        <v>Technical</v>
      </c>
      <c r="AL88">
        <f t="shared" ca="1" si="5"/>
        <v>2</v>
      </c>
      <c r="AM88" t="str">
        <f t="shared" ca="1" si="6"/>
        <v>2-5 Years</v>
      </c>
      <c r="AN88" t="str">
        <f t="shared" si="7"/>
        <v>Other</v>
      </c>
    </row>
    <row r="89" spans="1:40">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W89" s="1"/>
      <c r="X89" t="s">
        <v>44</v>
      </c>
      <c r="Y89" t="s">
        <v>45</v>
      </c>
      <c r="Z89" t="s">
        <v>46</v>
      </c>
      <c r="AA89" t="s">
        <v>65</v>
      </c>
      <c r="AB89">
        <v>16</v>
      </c>
      <c r="AC89" t="s">
        <v>48</v>
      </c>
      <c r="AD89" t="s">
        <v>58</v>
      </c>
      <c r="AE89">
        <v>4.4000000000000004</v>
      </c>
      <c r="AF89">
        <v>5</v>
      </c>
      <c r="AG89">
        <v>0</v>
      </c>
      <c r="AH89" s="1">
        <v>43518</v>
      </c>
      <c r="AI89">
        <v>0</v>
      </c>
      <c r="AJ89">
        <v>17</v>
      </c>
      <c r="AK89" t="str">
        <f t="shared" si="4"/>
        <v>Non-Technical</v>
      </c>
      <c r="AL89">
        <f t="shared" ca="1" si="5"/>
        <v>11</v>
      </c>
      <c r="AM89" t="str">
        <f t="shared" ca="1" si="6"/>
        <v>10+ Years</v>
      </c>
      <c r="AN89" t="str">
        <f t="shared" si="7"/>
        <v>Technician</v>
      </c>
    </row>
    <row r="90" spans="1:40">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W90" s="1"/>
      <c r="X90" t="s">
        <v>44</v>
      </c>
      <c r="Y90" t="s">
        <v>45</v>
      </c>
      <c r="Z90" t="s">
        <v>46</v>
      </c>
      <c r="AA90" t="s">
        <v>69</v>
      </c>
      <c r="AC90" t="s">
        <v>48</v>
      </c>
      <c r="AD90" t="s">
        <v>58</v>
      </c>
      <c r="AE90">
        <v>4</v>
      </c>
      <c r="AF90">
        <v>4</v>
      </c>
      <c r="AG90">
        <v>0</v>
      </c>
      <c r="AH90" s="1">
        <v>43472</v>
      </c>
      <c r="AI90">
        <v>0</v>
      </c>
      <c r="AJ90">
        <v>7</v>
      </c>
      <c r="AK90" t="str">
        <f t="shared" si="4"/>
        <v>Non-Technical</v>
      </c>
      <c r="AL90">
        <f t="shared" ca="1" si="5"/>
        <v>12</v>
      </c>
      <c r="AM90" t="str">
        <f t="shared" ca="1" si="6"/>
        <v>10+ Years</v>
      </c>
      <c r="AN90" t="str">
        <f t="shared" si="7"/>
        <v>Technician</v>
      </c>
    </row>
    <row r="91" spans="1:40">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c r="AK91" t="str">
        <f t="shared" si="4"/>
        <v>Non-Technical</v>
      </c>
      <c r="AL91">
        <f t="shared" ca="1" si="5"/>
        <v>4</v>
      </c>
      <c r="AM91" t="str">
        <f t="shared" ca="1" si="6"/>
        <v>2-5 Years</v>
      </c>
      <c r="AN91" t="str">
        <f t="shared" si="7"/>
        <v>Technician</v>
      </c>
    </row>
    <row r="92" spans="1:40">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W92" s="1"/>
      <c r="X92" t="s">
        <v>44</v>
      </c>
      <c r="Y92" t="s">
        <v>45</v>
      </c>
      <c r="Z92" t="s">
        <v>46</v>
      </c>
      <c r="AA92" t="s">
        <v>72</v>
      </c>
      <c r="AB92">
        <v>11</v>
      </c>
      <c r="AC92" t="s">
        <v>57</v>
      </c>
      <c r="AD92" t="s">
        <v>191</v>
      </c>
      <c r="AE92">
        <v>1.56</v>
      </c>
      <c r="AF92">
        <v>5</v>
      </c>
      <c r="AG92">
        <v>0</v>
      </c>
      <c r="AH92" s="1">
        <v>43468</v>
      </c>
      <c r="AI92">
        <v>6</v>
      </c>
      <c r="AJ92">
        <v>15</v>
      </c>
      <c r="AK92" t="str">
        <f t="shared" si="4"/>
        <v>Non-Technical</v>
      </c>
      <c r="AL92">
        <f t="shared" ca="1" si="5"/>
        <v>10</v>
      </c>
      <c r="AM92" t="str">
        <f t="shared" ca="1" si="6"/>
        <v>10+ Years</v>
      </c>
      <c r="AN92" t="str">
        <f t="shared" si="7"/>
        <v>Technician</v>
      </c>
    </row>
    <row r="93" spans="1:40">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W93" s="1"/>
      <c r="X93" t="s">
        <v>44</v>
      </c>
      <c r="Y93" t="s">
        <v>45</v>
      </c>
      <c r="Z93" t="s">
        <v>55</v>
      </c>
      <c r="AA93" t="s">
        <v>87</v>
      </c>
      <c r="AB93">
        <v>7</v>
      </c>
      <c r="AC93" t="s">
        <v>48</v>
      </c>
      <c r="AD93" t="s">
        <v>191</v>
      </c>
      <c r="AE93">
        <v>1.2</v>
      </c>
      <c r="AF93">
        <v>3</v>
      </c>
      <c r="AG93">
        <v>6</v>
      </c>
      <c r="AH93" s="1">
        <v>43500</v>
      </c>
      <c r="AI93">
        <v>3</v>
      </c>
      <c r="AJ93">
        <v>2</v>
      </c>
      <c r="AK93" t="str">
        <f t="shared" si="4"/>
        <v>Technical</v>
      </c>
      <c r="AL93">
        <f t="shared" ca="1" si="5"/>
        <v>11</v>
      </c>
      <c r="AM93" t="str">
        <f t="shared" ca="1" si="6"/>
        <v>10+ Years</v>
      </c>
      <c r="AN93" t="str">
        <f t="shared" si="7"/>
        <v>Other</v>
      </c>
    </row>
    <row r="94" spans="1:40">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W94" s="1"/>
      <c r="X94" t="s">
        <v>44</v>
      </c>
      <c r="Y94" t="s">
        <v>45</v>
      </c>
      <c r="Z94" t="s">
        <v>46</v>
      </c>
      <c r="AA94" t="s">
        <v>83</v>
      </c>
      <c r="AB94">
        <v>12</v>
      </c>
      <c r="AC94" t="s">
        <v>70</v>
      </c>
      <c r="AD94" t="s">
        <v>58</v>
      </c>
      <c r="AE94">
        <v>5</v>
      </c>
      <c r="AF94">
        <v>5</v>
      </c>
      <c r="AG94">
        <v>0</v>
      </c>
      <c r="AH94" s="1">
        <v>43494</v>
      </c>
      <c r="AI94">
        <v>0</v>
      </c>
      <c r="AJ94">
        <v>19</v>
      </c>
      <c r="AK94" t="str">
        <f t="shared" si="4"/>
        <v>Non-Technical</v>
      </c>
      <c r="AL94">
        <f t="shared" ca="1" si="5"/>
        <v>14</v>
      </c>
      <c r="AM94" t="str">
        <f t="shared" ca="1" si="6"/>
        <v>10+ Years</v>
      </c>
      <c r="AN94" t="str">
        <f t="shared" si="7"/>
        <v>Technician</v>
      </c>
    </row>
    <row r="95" spans="1:40">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c r="AK95" t="str">
        <f t="shared" si="4"/>
        <v>Non-Technical</v>
      </c>
      <c r="AL95">
        <f t="shared" ca="1" si="5"/>
        <v>2</v>
      </c>
      <c r="AM95" t="str">
        <f t="shared" ca="1" si="6"/>
        <v>2-5 Years</v>
      </c>
      <c r="AN95" t="str">
        <f t="shared" si="7"/>
        <v>Technician</v>
      </c>
    </row>
    <row r="96" spans="1:40">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c r="AK96" t="str">
        <f t="shared" si="4"/>
        <v>Non-Technical</v>
      </c>
      <c r="AL96">
        <f t="shared" ca="1" si="5"/>
        <v>1</v>
      </c>
      <c r="AM96" t="str">
        <f t="shared" ca="1" si="6"/>
        <v>0-2 Years</v>
      </c>
      <c r="AN96" t="str">
        <f t="shared" si="7"/>
        <v>Technician</v>
      </c>
    </row>
    <row r="97" spans="1:40">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c r="AK97" t="str">
        <f t="shared" si="4"/>
        <v>Non-Technical</v>
      </c>
      <c r="AL97">
        <f t="shared" ca="1" si="5"/>
        <v>3</v>
      </c>
      <c r="AM97" t="str">
        <f t="shared" ca="1" si="6"/>
        <v>2-5 Years</v>
      </c>
      <c r="AN97" t="str">
        <f t="shared" si="7"/>
        <v>Manager</v>
      </c>
    </row>
    <row r="98" spans="1:40">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W98" s="1"/>
      <c r="X98" t="s">
        <v>44</v>
      </c>
      <c r="Y98" t="s">
        <v>45</v>
      </c>
      <c r="Z98" t="s">
        <v>55</v>
      </c>
      <c r="AA98" t="s">
        <v>147</v>
      </c>
      <c r="AB98">
        <v>5</v>
      </c>
      <c r="AC98" t="s">
        <v>57</v>
      </c>
      <c r="AD98" t="s">
        <v>49</v>
      </c>
      <c r="AE98">
        <v>5</v>
      </c>
      <c r="AF98">
        <v>5</v>
      </c>
      <c r="AG98">
        <v>5</v>
      </c>
      <c r="AH98" s="1">
        <v>43472</v>
      </c>
      <c r="AI98">
        <v>0</v>
      </c>
      <c r="AJ98">
        <v>15</v>
      </c>
      <c r="AK98" t="str">
        <f t="shared" si="4"/>
        <v>Technical</v>
      </c>
      <c r="AL98">
        <f t="shared" ca="1" si="5"/>
        <v>15</v>
      </c>
      <c r="AM98" t="str">
        <f t="shared" ca="1" si="6"/>
        <v>10+ Years</v>
      </c>
      <c r="AN98" t="str">
        <f t="shared" si="7"/>
        <v>Other</v>
      </c>
    </row>
    <row r="99" spans="1:40">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W99" s="1"/>
      <c r="X99" t="s">
        <v>44</v>
      </c>
      <c r="Y99" t="s">
        <v>45</v>
      </c>
      <c r="Z99" t="s">
        <v>126</v>
      </c>
      <c r="AA99" t="s">
        <v>235</v>
      </c>
      <c r="AB99">
        <v>9</v>
      </c>
      <c r="AC99" t="s">
        <v>236</v>
      </c>
      <c r="AD99" t="s">
        <v>58</v>
      </c>
      <c r="AE99">
        <v>5</v>
      </c>
      <c r="AF99">
        <v>3</v>
      </c>
      <c r="AG99">
        <v>2</v>
      </c>
      <c r="AH99" s="1">
        <v>43504</v>
      </c>
      <c r="AI99">
        <v>0</v>
      </c>
      <c r="AJ99">
        <v>3</v>
      </c>
      <c r="AK99" t="str">
        <f t="shared" si="4"/>
        <v>Non-Technical</v>
      </c>
      <c r="AL99">
        <f t="shared" ca="1" si="5"/>
        <v>17</v>
      </c>
      <c r="AM99" t="str">
        <f t="shared" ca="1" si="6"/>
        <v>10+ Years</v>
      </c>
      <c r="AN99" t="str">
        <f t="shared" si="7"/>
        <v>Other</v>
      </c>
    </row>
    <row r="100" spans="1:40">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W100" s="1"/>
      <c r="X100" t="s">
        <v>44</v>
      </c>
      <c r="Y100" t="s">
        <v>45</v>
      </c>
      <c r="Z100" t="s">
        <v>141</v>
      </c>
      <c r="AA100" t="s">
        <v>160</v>
      </c>
      <c r="AB100">
        <v>21</v>
      </c>
      <c r="AC100" t="s">
        <v>117</v>
      </c>
      <c r="AD100" t="s">
        <v>58</v>
      </c>
      <c r="AE100">
        <v>4.3</v>
      </c>
      <c r="AF100">
        <v>3</v>
      </c>
      <c r="AG100">
        <v>0</v>
      </c>
      <c r="AH100" s="1">
        <v>43492</v>
      </c>
      <c r="AI100">
        <v>2</v>
      </c>
      <c r="AJ100">
        <v>7</v>
      </c>
      <c r="AK100" t="str">
        <f t="shared" si="4"/>
        <v>Non-Technical</v>
      </c>
      <c r="AL100">
        <f t="shared" ca="1" si="5"/>
        <v>14</v>
      </c>
      <c r="AM100" t="str">
        <f t="shared" ca="1" si="6"/>
        <v>10+ Years</v>
      </c>
      <c r="AN100" t="str">
        <f t="shared" si="7"/>
        <v>Manager</v>
      </c>
    </row>
    <row r="101" spans="1:40">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W101" s="1"/>
      <c r="X101" t="s">
        <v>44</v>
      </c>
      <c r="Y101" t="s">
        <v>45</v>
      </c>
      <c r="Z101" t="s">
        <v>55</v>
      </c>
      <c r="AA101" t="s">
        <v>166</v>
      </c>
      <c r="AB101">
        <v>6</v>
      </c>
      <c r="AC101" t="s">
        <v>48</v>
      </c>
      <c r="AD101" t="s">
        <v>58</v>
      </c>
      <c r="AE101">
        <v>4.7</v>
      </c>
      <c r="AF101">
        <v>4</v>
      </c>
      <c r="AG101">
        <v>5</v>
      </c>
      <c r="AH101" s="1">
        <v>43497</v>
      </c>
      <c r="AI101">
        <v>0</v>
      </c>
      <c r="AJ101">
        <v>1</v>
      </c>
      <c r="AK101" t="str">
        <f t="shared" si="4"/>
        <v>Technical</v>
      </c>
      <c r="AL101">
        <f t="shared" ca="1" si="5"/>
        <v>15</v>
      </c>
      <c r="AM101" t="str">
        <f t="shared" ca="1" si="6"/>
        <v>10+ Years</v>
      </c>
      <c r="AN101" t="str">
        <f t="shared" si="7"/>
        <v>Other</v>
      </c>
    </row>
    <row r="102" spans="1:40">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W102" s="1"/>
      <c r="X102" t="s">
        <v>44</v>
      </c>
      <c r="Y102" t="s">
        <v>45</v>
      </c>
      <c r="Z102" t="s">
        <v>46</v>
      </c>
      <c r="AA102" t="s">
        <v>91</v>
      </c>
      <c r="AB102">
        <v>14</v>
      </c>
      <c r="AC102" t="s">
        <v>80</v>
      </c>
      <c r="AD102" t="s">
        <v>58</v>
      </c>
      <c r="AE102">
        <v>4.5</v>
      </c>
      <c r="AF102">
        <v>3</v>
      </c>
      <c r="AG102">
        <v>0</v>
      </c>
      <c r="AH102" s="1">
        <v>43514</v>
      </c>
      <c r="AI102">
        <v>0</v>
      </c>
      <c r="AJ102">
        <v>5</v>
      </c>
      <c r="AK102" t="str">
        <f t="shared" si="4"/>
        <v>Non-Technical</v>
      </c>
      <c r="AL102">
        <f t="shared" ca="1" si="5"/>
        <v>11</v>
      </c>
      <c r="AM102" t="str">
        <f t="shared" ca="1" si="6"/>
        <v>10+ Years</v>
      </c>
      <c r="AN102" t="str">
        <f t="shared" si="7"/>
        <v>Technician</v>
      </c>
    </row>
    <row r="103" spans="1:40">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W103" s="1"/>
      <c r="X103" t="s">
        <v>44</v>
      </c>
      <c r="Y103" t="s">
        <v>45</v>
      </c>
      <c r="Z103" t="s">
        <v>46</v>
      </c>
      <c r="AA103" t="s">
        <v>99</v>
      </c>
      <c r="AB103">
        <v>18</v>
      </c>
      <c r="AC103" t="s">
        <v>48</v>
      </c>
      <c r="AD103" t="s">
        <v>58</v>
      </c>
      <c r="AE103">
        <v>4.2</v>
      </c>
      <c r="AF103">
        <v>4</v>
      </c>
      <c r="AG103">
        <v>0</v>
      </c>
      <c r="AH103" s="1">
        <v>43522</v>
      </c>
      <c r="AI103">
        <v>0</v>
      </c>
      <c r="AJ103">
        <v>12</v>
      </c>
      <c r="AK103" t="str">
        <f t="shared" si="4"/>
        <v>Non-Technical</v>
      </c>
      <c r="AL103">
        <f t="shared" ca="1" si="5"/>
        <v>14</v>
      </c>
      <c r="AM103" t="str">
        <f t="shared" ca="1" si="6"/>
        <v>10+ Years</v>
      </c>
      <c r="AN103" t="str">
        <f t="shared" si="7"/>
        <v>Technician</v>
      </c>
    </row>
    <row r="104" spans="1:40">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W104" s="1"/>
      <c r="X104" t="s">
        <v>44</v>
      </c>
      <c r="Y104" t="s">
        <v>45</v>
      </c>
      <c r="Z104" t="s">
        <v>46</v>
      </c>
      <c r="AA104" t="s">
        <v>47</v>
      </c>
      <c r="AB104">
        <v>22</v>
      </c>
      <c r="AC104" t="s">
        <v>48</v>
      </c>
      <c r="AD104" t="s">
        <v>58</v>
      </c>
      <c r="AE104">
        <v>3.73</v>
      </c>
      <c r="AF104">
        <v>3</v>
      </c>
      <c r="AG104">
        <v>0</v>
      </c>
      <c r="AH104" s="1">
        <v>43481</v>
      </c>
      <c r="AI104">
        <v>0</v>
      </c>
      <c r="AJ104">
        <v>19</v>
      </c>
      <c r="AK104" t="str">
        <f t="shared" si="4"/>
        <v>Non-Technical</v>
      </c>
      <c r="AL104">
        <f t="shared" ca="1" si="5"/>
        <v>11</v>
      </c>
      <c r="AM104" t="str">
        <f t="shared" ca="1" si="6"/>
        <v>10+ Years</v>
      </c>
      <c r="AN104" t="str">
        <f t="shared" si="7"/>
        <v>Technician</v>
      </c>
    </row>
    <row r="105" spans="1:40">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c r="AK105" t="str">
        <f t="shared" si="4"/>
        <v>Non-Technical</v>
      </c>
      <c r="AL105">
        <f t="shared" ca="1" si="5"/>
        <v>5</v>
      </c>
      <c r="AM105" t="str">
        <f t="shared" ca="1" si="6"/>
        <v>5-10 Years</v>
      </c>
      <c r="AN105" t="str">
        <f t="shared" si="7"/>
        <v>Technician</v>
      </c>
    </row>
    <row r="106" spans="1:40">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c r="AK106" t="str">
        <f t="shared" si="4"/>
        <v>Non-Technical</v>
      </c>
      <c r="AL106">
        <f t="shared" ca="1" si="5"/>
        <v>1</v>
      </c>
      <c r="AM106" t="str">
        <f t="shared" ca="1" si="6"/>
        <v>0-2 Years</v>
      </c>
      <c r="AN106" t="str">
        <f t="shared" si="7"/>
        <v>Manager</v>
      </c>
    </row>
    <row r="107" spans="1:40">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c r="AK107" t="str">
        <f t="shared" si="4"/>
        <v>Non-Technical</v>
      </c>
      <c r="AL107">
        <f t="shared" ca="1" si="5"/>
        <v>3</v>
      </c>
      <c r="AM107" t="str">
        <f t="shared" ca="1" si="6"/>
        <v>2-5 Years</v>
      </c>
      <c r="AN107" t="str">
        <f t="shared" si="7"/>
        <v>Technician</v>
      </c>
    </row>
    <row r="108" spans="1:40">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W108" s="1"/>
      <c r="X108" t="s">
        <v>44</v>
      </c>
      <c r="Y108" t="s">
        <v>45</v>
      </c>
      <c r="Z108" t="s">
        <v>46</v>
      </c>
      <c r="AA108" t="s">
        <v>72</v>
      </c>
      <c r="AB108">
        <v>11</v>
      </c>
      <c r="AC108" t="s">
        <v>57</v>
      </c>
      <c r="AD108" t="s">
        <v>49</v>
      </c>
      <c r="AE108">
        <v>3.9</v>
      </c>
      <c r="AF108">
        <v>4</v>
      </c>
      <c r="AG108">
        <v>0</v>
      </c>
      <c r="AH108" s="1">
        <v>43503</v>
      </c>
      <c r="AI108">
        <v>0</v>
      </c>
      <c r="AJ108">
        <v>3</v>
      </c>
      <c r="AK108" t="str">
        <f t="shared" si="4"/>
        <v>Non-Technical</v>
      </c>
      <c r="AL108">
        <f t="shared" ca="1" si="5"/>
        <v>11</v>
      </c>
      <c r="AM108" t="str">
        <f t="shared" ca="1" si="6"/>
        <v>10+ Years</v>
      </c>
      <c r="AN108" t="str">
        <f t="shared" si="7"/>
        <v>Technician</v>
      </c>
    </row>
    <row r="109" spans="1:40">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W109" s="1"/>
      <c r="X109" t="s">
        <v>44</v>
      </c>
      <c r="Y109" t="s">
        <v>45</v>
      </c>
      <c r="Z109" t="s">
        <v>141</v>
      </c>
      <c r="AA109" t="s">
        <v>160</v>
      </c>
      <c r="AB109">
        <v>21</v>
      </c>
      <c r="AC109" t="s">
        <v>57</v>
      </c>
      <c r="AD109" t="s">
        <v>58</v>
      </c>
      <c r="AE109">
        <v>4.5</v>
      </c>
      <c r="AF109">
        <v>5</v>
      </c>
      <c r="AG109">
        <v>0</v>
      </c>
      <c r="AH109" s="1">
        <v>43490</v>
      </c>
      <c r="AI109">
        <v>0</v>
      </c>
      <c r="AJ109">
        <v>20</v>
      </c>
      <c r="AK109" t="str">
        <f t="shared" si="4"/>
        <v>Non-Technical</v>
      </c>
      <c r="AL109">
        <f t="shared" ca="1" si="5"/>
        <v>11</v>
      </c>
      <c r="AM109" t="str">
        <f t="shared" ca="1" si="6"/>
        <v>10+ Years</v>
      </c>
      <c r="AN109" t="str">
        <f t="shared" si="7"/>
        <v>Manager</v>
      </c>
    </row>
    <row r="110" spans="1:40">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c r="AK110" t="str">
        <f t="shared" si="4"/>
        <v>Technical</v>
      </c>
      <c r="AL110">
        <f t="shared" ca="1" si="5"/>
        <v>0</v>
      </c>
      <c r="AM110" t="str">
        <f t="shared" ca="1" si="6"/>
        <v>0-2 Years</v>
      </c>
      <c r="AN110" t="str">
        <f t="shared" si="7"/>
        <v>Other</v>
      </c>
    </row>
    <row r="111" spans="1:40">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W111" s="1"/>
      <c r="X111" t="s">
        <v>44</v>
      </c>
      <c r="Y111" t="s">
        <v>45</v>
      </c>
      <c r="Z111" t="s">
        <v>55</v>
      </c>
      <c r="AA111" t="s">
        <v>87</v>
      </c>
      <c r="AB111">
        <v>7</v>
      </c>
      <c r="AC111" t="s">
        <v>48</v>
      </c>
      <c r="AD111" t="s">
        <v>58</v>
      </c>
      <c r="AE111">
        <v>4.3</v>
      </c>
      <c r="AF111">
        <v>5</v>
      </c>
      <c r="AG111">
        <v>7</v>
      </c>
      <c r="AH111" s="1">
        <v>43475</v>
      </c>
      <c r="AI111">
        <v>0</v>
      </c>
      <c r="AJ111">
        <v>20</v>
      </c>
      <c r="AK111" t="str">
        <f t="shared" si="4"/>
        <v>Technical</v>
      </c>
      <c r="AL111">
        <f t="shared" ca="1" si="5"/>
        <v>11</v>
      </c>
      <c r="AM111" t="str">
        <f t="shared" ca="1" si="6"/>
        <v>10+ Years</v>
      </c>
      <c r="AN111" t="str">
        <f t="shared" si="7"/>
        <v>Other</v>
      </c>
    </row>
    <row r="112" spans="1:40">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W112" s="1"/>
      <c r="X112" t="s">
        <v>44</v>
      </c>
      <c r="Y112" t="s">
        <v>45</v>
      </c>
      <c r="Z112" t="s">
        <v>46</v>
      </c>
      <c r="AA112" t="s">
        <v>79</v>
      </c>
      <c r="AB112">
        <v>19</v>
      </c>
      <c r="AC112" t="s">
        <v>57</v>
      </c>
      <c r="AD112" t="s">
        <v>58</v>
      </c>
      <c r="AE112">
        <v>4.3</v>
      </c>
      <c r="AF112">
        <v>5</v>
      </c>
      <c r="AG112">
        <v>0</v>
      </c>
      <c r="AH112" s="1">
        <v>43514</v>
      </c>
      <c r="AI112">
        <v>0</v>
      </c>
      <c r="AJ112">
        <v>7</v>
      </c>
      <c r="AK112" t="str">
        <f t="shared" si="4"/>
        <v>Non-Technical</v>
      </c>
      <c r="AL112">
        <f t="shared" ca="1" si="5"/>
        <v>12</v>
      </c>
      <c r="AM112" t="str">
        <f t="shared" ca="1" si="6"/>
        <v>10+ Years</v>
      </c>
      <c r="AN112" t="str">
        <f t="shared" si="7"/>
        <v>Technician</v>
      </c>
    </row>
    <row r="113" spans="1:40">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W113" s="1"/>
      <c r="X113" t="s">
        <v>44</v>
      </c>
      <c r="Y113" t="s">
        <v>45</v>
      </c>
      <c r="Z113" t="s">
        <v>46</v>
      </c>
      <c r="AA113" t="s">
        <v>83</v>
      </c>
      <c r="AB113">
        <v>12</v>
      </c>
      <c r="AC113" t="s">
        <v>84</v>
      </c>
      <c r="AD113" t="s">
        <v>49</v>
      </c>
      <c r="AE113">
        <v>4.5</v>
      </c>
      <c r="AF113">
        <v>4</v>
      </c>
      <c r="AG113">
        <v>0</v>
      </c>
      <c r="AH113" s="1">
        <v>43514</v>
      </c>
      <c r="AI113">
        <v>0</v>
      </c>
      <c r="AJ113">
        <v>1</v>
      </c>
      <c r="AK113" t="str">
        <f t="shared" si="4"/>
        <v>Non-Technical</v>
      </c>
      <c r="AL113">
        <f t="shared" ca="1" si="5"/>
        <v>14</v>
      </c>
      <c r="AM113" t="str">
        <f t="shared" ca="1" si="6"/>
        <v>10+ Years</v>
      </c>
      <c r="AN113" t="str">
        <f t="shared" si="7"/>
        <v>Technician</v>
      </c>
    </row>
    <row r="114" spans="1:40">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c r="AK114" t="str">
        <f t="shared" si="4"/>
        <v>Non-Technical</v>
      </c>
      <c r="AL114">
        <f t="shared" ca="1" si="5"/>
        <v>1</v>
      </c>
      <c r="AM114" t="str">
        <f t="shared" ca="1" si="6"/>
        <v>0-2 Years</v>
      </c>
      <c r="AN114" t="str">
        <f t="shared" si="7"/>
        <v>Technician</v>
      </c>
    </row>
    <row r="115" spans="1:40">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W115" s="1"/>
      <c r="X115" t="s">
        <v>44</v>
      </c>
      <c r="Y115" t="s">
        <v>45</v>
      </c>
      <c r="Z115" t="s">
        <v>55</v>
      </c>
      <c r="AA115" t="s">
        <v>87</v>
      </c>
      <c r="AB115">
        <v>7</v>
      </c>
      <c r="AC115" t="s">
        <v>80</v>
      </c>
      <c r="AD115" t="s">
        <v>58</v>
      </c>
      <c r="AE115">
        <v>4.6100000000000003</v>
      </c>
      <c r="AF115">
        <v>4</v>
      </c>
      <c r="AG115">
        <v>5</v>
      </c>
      <c r="AH115" s="1">
        <v>43493</v>
      </c>
      <c r="AI115">
        <v>0</v>
      </c>
      <c r="AJ115">
        <v>11</v>
      </c>
      <c r="AK115" t="str">
        <f t="shared" si="4"/>
        <v>Technical</v>
      </c>
      <c r="AL115">
        <f t="shared" ca="1" si="5"/>
        <v>11</v>
      </c>
      <c r="AM115" t="str">
        <f t="shared" ca="1" si="6"/>
        <v>10+ Years</v>
      </c>
      <c r="AN115" t="str">
        <f t="shared" si="7"/>
        <v>Other</v>
      </c>
    </row>
    <row r="116" spans="1:40">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W116" s="1"/>
      <c r="X116" t="s">
        <v>44</v>
      </c>
      <c r="Y116" t="s">
        <v>45</v>
      </c>
      <c r="Z116" t="s">
        <v>46</v>
      </c>
      <c r="AA116" t="s">
        <v>91</v>
      </c>
      <c r="AB116">
        <v>14</v>
      </c>
      <c r="AC116" t="s">
        <v>48</v>
      </c>
      <c r="AD116" t="s">
        <v>58</v>
      </c>
      <c r="AE116">
        <v>4.5999999999999996</v>
      </c>
      <c r="AF116">
        <v>3</v>
      </c>
      <c r="AG116">
        <v>0</v>
      </c>
      <c r="AH116" s="1">
        <v>43503</v>
      </c>
      <c r="AI116">
        <v>0</v>
      </c>
      <c r="AJ116">
        <v>20</v>
      </c>
      <c r="AK116" t="str">
        <f t="shared" si="4"/>
        <v>Non-Technical</v>
      </c>
      <c r="AL116">
        <f t="shared" ca="1" si="5"/>
        <v>11</v>
      </c>
      <c r="AM116" t="str">
        <f t="shared" ca="1" si="6"/>
        <v>10+ Years</v>
      </c>
      <c r="AN116" t="str">
        <f t="shared" si="7"/>
        <v>Technician</v>
      </c>
    </row>
    <row r="117" spans="1:40">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W117" s="1"/>
      <c r="X117" t="s">
        <v>44</v>
      </c>
      <c r="Y117" t="s">
        <v>45</v>
      </c>
      <c r="Z117" t="s">
        <v>46</v>
      </c>
      <c r="AA117" t="s">
        <v>91</v>
      </c>
      <c r="AB117">
        <v>14</v>
      </c>
      <c r="AC117" t="s">
        <v>48</v>
      </c>
      <c r="AD117" t="s">
        <v>58</v>
      </c>
      <c r="AE117">
        <v>5</v>
      </c>
      <c r="AF117">
        <v>3</v>
      </c>
      <c r="AG117">
        <v>0</v>
      </c>
      <c r="AH117" s="1">
        <v>43479</v>
      </c>
      <c r="AI117">
        <v>0</v>
      </c>
      <c r="AJ117">
        <v>2</v>
      </c>
      <c r="AK117" t="str">
        <f t="shared" si="4"/>
        <v>Non-Technical</v>
      </c>
      <c r="AL117">
        <f t="shared" ca="1" si="5"/>
        <v>13</v>
      </c>
      <c r="AM117" t="str">
        <f t="shared" ca="1" si="6"/>
        <v>10+ Years</v>
      </c>
      <c r="AN117" t="str">
        <f t="shared" si="7"/>
        <v>Technician</v>
      </c>
    </row>
    <row r="118" spans="1:40">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W118" s="1"/>
      <c r="X118" t="s">
        <v>44</v>
      </c>
      <c r="Y118" t="s">
        <v>45</v>
      </c>
      <c r="Z118" t="s">
        <v>46</v>
      </c>
      <c r="AA118" t="s">
        <v>63</v>
      </c>
      <c r="AB118">
        <v>20</v>
      </c>
      <c r="AC118" t="s">
        <v>70</v>
      </c>
      <c r="AD118" t="s">
        <v>58</v>
      </c>
      <c r="AE118">
        <v>4.4000000000000004</v>
      </c>
      <c r="AF118">
        <v>5</v>
      </c>
      <c r="AG118">
        <v>0</v>
      </c>
      <c r="AH118" s="1">
        <v>43517</v>
      </c>
      <c r="AI118">
        <v>0</v>
      </c>
      <c r="AJ118">
        <v>1</v>
      </c>
      <c r="AK118" t="str">
        <f t="shared" si="4"/>
        <v>Non-Technical</v>
      </c>
      <c r="AL118">
        <f t="shared" ca="1" si="5"/>
        <v>12</v>
      </c>
      <c r="AM118" t="str">
        <f t="shared" ca="1" si="6"/>
        <v>10+ Years</v>
      </c>
      <c r="AN118" t="str">
        <f t="shared" si="7"/>
        <v>Technician</v>
      </c>
    </row>
    <row r="119" spans="1:40">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W119" s="1"/>
      <c r="X119" t="s">
        <v>44</v>
      </c>
      <c r="Y119" t="s">
        <v>45</v>
      </c>
      <c r="Z119" t="s">
        <v>46</v>
      </c>
      <c r="AA119" t="s">
        <v>63</v>
      </c>
      <c r="AB119">
        <v>20</v>
      </c>
      <c r="AC119" t="s">
        <v>48</v>
      </c>
      <c r="AD119" t="s">
        <v>58</v>
      </c>
      <c r="AE119">
        <v>4.0999999999999996</v>
      </c>
      <c r="AF119">
        <v>5</v>
      </c>
      <c r="AG119">
        <v>0</v>
      </c>
      <c r="AH119" s="1">
        <v>43511</v>
      </c>
      <c r="AI119">
        <v>0</v>
      </c>
      <c r="AJ119">
        <v>3</v>
      </c>
      <c r="AK119" t="str">
        <f t="shared" si="4"/>
        <v>Non-Technical</v>
      </c>
      <c r="AL119">
        <f t="shared" ca="1" si="5"/>
        <v>12</v>
      </c>
      <c r="AM119" t="str">
        <f t="shared" ca="1" si="6"/>
        <v>10+ Years</v>
      </c>
      <c r="AN119" t="str">
        <f t="shared" si="7"/>
        <v>Technician</v>
      </c>
    </row>
    <row r="120" spans="1:40">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W120" s="1"/>
      <c r="X120" t="s">
        <v>44</v>
      </c>
      <c r="Y120" t="s">
        <v>45</v>
      </c>
      <c r="Z120" t="s">
        <v>46</v>
      </c>
      <c r="AA120" t="s">
        <v>131</v>
      </c>
      <c r="AB120">
        <v>2</v>
      </c>
      <c r="AC120" t="s">
        <v>80</v>
      </c>
      <c r="AD120" t="s">
        <v>58</v>
      </c>
      <c r="AE120">
        <v>4.63</v>
      </c>
      <c r="AF120">
        <v>3</v>
      </c>
      <c r="AG120">
        <v>0</v>
      </c>
      <c r="AH120" s="1">
        <v>43469</v>
      </c>
      <c r="AI120">
        <v>0</v>
      </c>
      <c r="AJ120">
        <v>2</v>
      </c>
      <c r="AK120" t="str">
        <f t="shared" si="4"/>
        <v>Non-Technical</v>
      </c>
      <c r="AL120">
        <f t="shared" ca="1" si="5"/>
        <v>10</v>
      </c>
      <c r="AM120" t="str">
        <f t="shared" ca="1" si="6"/>
        <v>10+ Years</v>
      </c>
      <c r="AN120" t="str">
        <f t="shared" si="7"/>
        <v>Manager</v>
      </c>
    </row>
    <row r="121" spans="1:40">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c r="AK121" t="str">
        <f t="shared" si="4"/>
        <v>Non-Technical</v>
      </c>
      <c r="AL121">
        <f t="shared" ca="1" si="5"/>
        <v>2</v>
      </c>
      <c r="AM121" t="str">
        <f t="shared" ca="1" si="6"/>
        <v>2-5 Years</v>
      </c>
      <c r="AN121" t="str">
        <f t="shared" si="7"/>
        <v>Technician</v>
      </c>
    </row>
    <row r="122" spans="1:40">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W122" s="1"/>
      <c r="X122" t="s">
        <v>44</v>
      </c>
      <c r="Y122" t="s">
        <v>45</v>
      </c>
      <c r="Z122" t="s">
        <v>55</v>
      </c>
      <c r="AA122" t="s">
        <v>197</v>
      </c>
      <c r="AB122">
        <v>13</v>
      </c>
      <c r="AC122" t="s">
        <v>57</v>
      </c>
      <c r="AD122" t="s">
        <v>58</v>
      </c>
      <c r="AE122">
        <v>4.2</v>
      </c>
      <c r="AF122">
        <v>5</v>
      </c>
      <c r="AG122">
        <v>5</v>
      </c>
      <c r="AH122" s="1">
        <v>43493</v>
      </c>
      <c r="AI122">
        <v>0</v>
      </c>
      <c r="AJ122">
        <v>8</v>
      </c>
      <c r="AK122" t="str">
        <f t="shared" si="4"/>
        <v>Technical</v>
      </c>
      <c r="AL122">
        <f t="shared" ca="1" si="5"/>
        <v>9</v>
      </c>
      <c r="AM122" t="str">
        <f t="shared" ca="1" si="6"/>
        <v>5-10 Years</v>
      </c>
      <c r="AN122" t="str">
        <f t="shared" si="7"/>
        <v>Other</v>
      </c>
    </row>
    <row r="123" spans="1:40">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c r="AK123" t="str">
        <f t="shared" si="4"/>
        <v>Non-Technical</v>
      </c>
      <c r="AL123">
        <f t="shared" ca="1" si="5"/>
        <v>2</v>
      </c>
      <c r="AM123" t="str">
        <f t="shared" ca="1" si="6"/>
        <v>2-5 Years</v>
      </c>
      <c r="AN123" t="str">
        <f t="shared" si="7"/>
        <v>Manager</v>
      </c>
    </row>
    <row r="124" spans="1:40">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W124" s="1"/>
      <c r="X124" t="s">
        <v>44</v>
      </c>
      <c r="Y124" t="s">
        <v>45</v>
      </c>
      <c r="Z124" t="s">
        <v>46</v>
      </c>
      <c r="AA124" t="s">
        <v>47</v>
      </c>
      <c r="AB124">
        <v>22</v>
      </c>
      <c r="AC124" t="s">
        <v>70</v>
      </c>
      <c r="AD124" t="s">
        <v>58</v>
      </c>
      <c r="AE124">
        <v>4.2</v>
      </c>
      <c r="AF124">
        <v>4</v>
      </c>
      <c r="AG124">
        <v>0</v>
      </c>
      <c r="AH124" s="1">
        <v>43518</v>
      </c>
      <c r="AI124">
        <v>0</v>
      </c>
      <c r="AJ124">
        <v>13</v>
      </c>
      <c r="AK124" t="str">
        <f t="shared" si="4"/>
        <v>Non-Technical</v>
      </c>
      <c r="AL124">
        <f t="shared" ca="1" si="5"/>
        <v>14</v>
      </c>
      <c r="AM124" t="str">
        <f t="shared" ca="1" si="6"/>
        <v>10+ Years</v>
      </c>
      <c r="AN124" t="str">
        <f t="shared" si="7"/>
        <v>Technician</v>
      </c>
    </row>
    <row r="125" spans="1:40">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W125" s="1"/>
      <c r="X125" t="s">
        <v>44</v>
      </c>
      <c r="Y125" t="s">
        <v>45</v>
      </c>
      <c r="Z125" t="s">
        <v>46</v>
      </c>
      <c r="AA125" t="s">
        <v>99</v>
      </c>
      <c r="AB125">
        <v>18</v>
      </c>
      <c r="AC125" t="s">
        <v>48</v>
      </c>
      <c r="AD125" t="s">
        <v>58</v>
      </c>
      <c r="AE125">
        <v>5</v>
      </c>
      <c r="AF125">
        <v>3</v>
      </c>
      <c r="AG125">
        <v>0</v>
      </c>
      <c r="AH125" s="1">
        <v>43473</v>
      </c>
      <c r="AI125">
        <v>0</v>
      </c>
      <c r="AJ125">
        <v>20</v>
      </c>
      <c r="AK125" t="str">
        <f t="shared" si="4"/>
        <v>Non-Technical</v>
      </c>
      <c r="AL125">
        <f t="shared" ca="1" si="5"/>
        <v>12</v>
      </c>
      <c r="AM125" t="str">
        <f t="shared" ca="1" si="6"/>
        <v>10+ Years</v>
      </c>
      <c r="AN125" t="str">
        <f t="shared" si="7"/>
        <v>Technician</v>
      </c>
    </row>
    <row r="126" spans="1:40">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c r="AK126" t="str">
        <f t="shared" si="4"/>
        <v>Non-Technical</v>
      </c>
      <c r="AL126">
        <f t="shared" ca="1" si="5"/>
        <v>3</v>
      </c>
      <c r="AM126" t="str">
        <f t="shared" ca="1" si="6"/>
        <v>2-5 Years</v>
      </c>
      <c r="AN126" t="str">
        <f t="shared" si="7"/>
        <v>Technician</v>
      </c>
    </row>
    <row r="127" spans="1:40">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W127" s="1"/>
      <c r="X127" t="s">
        <v>44</v>
      </c>
      <c r="Y127" t="s">
        <v>45</v>
      </c>
      <c r="Z127" t="s">
        <v>46</v>
      </c>
      <c r="AA127" t="s">
        <v>72</v>
      </c>
      <c r="AB127">
        <v>11</v>
      </c>
      <c r="AC127" t="s">
        <v>117</v>
      </c>
      <c r="AD127" t="s">
        <v>49</v>
      </c>
      <c r="AE127">
        <v>4.76</v>
      </c>
      <c r="AF127">
        <v>4</v>
      </c>
      <c r="AG127">
        <v>0</v>
      </c>
      <c r="AH127" s="1">
        <v>43511</v>
      </c>
      <c r="AI127">
        <v>0</v>
      </c>
      <c r="AJ127">
        <v>5</v>
      </c>
      <c r="AK127" t="str">
        <f t="shared" si="4"/>
        <v>Non-Technical</v>
      </c>
      <c r="AL127">
        <f t="shared" ca="1" si="5"/>
        <v>11</v>
      </c>
      <c r="AM127" t="str">
        <f t="shared" ca="1" si="6"/>
        <v>10+ Years</v>
      </c>
      <c r="AN127" t="str">
        <f t="shared" si="7"/>
        <v>Technician</v>
      </c>
    </row>
    <row r="128" spans="1:40">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W128" s="1"/>
      <c r="X128" t="s">
        <v>44</v>
      </c>
      <c r="Y128" t="s">
        <v>45</v>
      </c>
      <c r="Z128" t="s">
        <v>46</v>
      </c>
      <c r="AA128" t="s">
        <v>79</v>
      </c>
      <c r="AB128">
        <v>19</v>
      </c>
      <c r="AC128" t="s">
        <v>70</v>
      </c>
      <c r="AD128" t="s">
        <v>58</v>
      </c>
      <c r="AE128">
        <v>4.17</v>
      </c>
      <c r="AF128">
        <v>4</v>
      </c>
      <c r="AG128">
        <v>0</v>
      </c>
      <c r="AH128" s="1">
        <v>43507</v>
      </c>
      <c r="AI128">
        <v>0</v>
      </c>
      <c r="AJ128">
        <v>1</v>
      </c>
      <c r="AK128" t="str">
        <f t="shared" si="4"/>
        <v>Non-Technical</v>
      </c>
      <c r="AL128">
        <f t="shared" ca="1" si="5"/>
        <v>13</v>
      </c>
      <c r="AM128" t="str">
        <f t="shared" ca="1" si="6"/>
        <v>10+ Years</v>
      </c>
      <c r="AN128" t="str">
        <f t="shared" si="7"/>
        <v>Technician</v>
      </c>
    </row>
    <row r="129" spans="1:40">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c r="AK129" t="str">
        <f t="shared" si="4"/>
        <v>Non-Technical</v>
      </c>
      <c r="AL129">
        <f t="shared" ca="1" si="5"/>
        <v>2</v>
      </c>
      <c r="AM129" t="str">
        <f t="shared" ca="1" si="6"/>
        <v>2-5 Years</v>
      </c>
      <c r="AN129" t="str">
        <f t="shared" si="7"/>
        <v>Technician</v>
      </c>
    </row>
    <row r="130" spans="1:40">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W130" s="1"/>
      <c r="X130" t="s">
        <v>44</v>
      </c>
      <c r="Y130" t="s">
        <v>45</v>
      </c>
      <c r="Z130" t="s">
        <v>141</v>
      </c>
      <c r="AA130" t="s">
        <v>142</v>
      </c>
      <c r="AB130">
        <v>17</v>
      </c>
      <c r="AC130" t="s">
        <v>57</v>
      </c>
      <c r="AD130" t="s">
        <v>58</v>
      </c>
      <c r="AE130">
        <v>3.6</v>
      </c>
      <c r="AF130">
        <v>5</v>
      </c>
      <c r="AG130">
        <v>0</v>
      </c>
      <c r="AH130" s="1">
        <v>43495</v>
      </c>
      <c r="AI130">
        <v>0</v>
      </c>
      <c r="AJ130">
        <v>9</v>
      </c>
      <c r="AK130" t="str">
        <f t="shared" ref="AK130:AK193" si="8">IF(OR(Z130="IT/IS",Z130="Software Engineering"),"Technical","Non-Technical")</f>
        <v>Non-Technical</v>
      </c>
      <c r="AL130">
        <f t="shared" ref="AL130:AL193" ca="1" si="9">IF(W130="",DATEDIF(V130,TODAY(),"Y"),DATEDIF(V130,W130,"Y"))</f>
        <v>11</v>
      </c>
      <c r="AM130" t="str">
        <f t="shared" ref="AM130:AM193" ca="1" si="10">IF(AL130&lt;2,"0-2 Years",
IF(AL130&lt;5,"2-5 Years",
IF(AL130&lt;10,"5-10 Years","10+ Years")))</f>
        <v>10+ Years</v>
      </c>
      <c r="AN130" t="str">
        <f t="shared" ref="AN130:AN193" si="11">IF(ISNUMBER(SEARCH("Manager",M130)),"Manager",
IF(ISNUMBER(SEARCH("Technician",M130)),"Technician","Other"))</f>
        <v>Manager</v>
      </c>
    </row>
    <row r="131" spans="1:40">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c r="AK131" t="str">
        <f t="shared" si="8"/>
        <v>Non-Technical</v>
      </c>
      <c r="AL131">
        <f t="shared" ca="1" si="9"/>
        <v>0</v>
      </c>
      <c r="AM131" t="str">
        <f t="shared" ca="1" si="10"/>
        <v>0-2 Years</v>
      </c>
      <c r="AN131" t="str">
        <f t="shared" si="11"/>
        <v>Technician</v>
      </c>
    </row>
    <row r="132" spans="1:40">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W132" s="1"/>
      <c r="X132" t="s">
        <v>44</v>
      </c>
      <c r="Y132" t="s">
        <v>45</v>
      </c>
      <c r="Z132" t="s">
        <v>55</v>
      </c>
      <c r="AA132" t="s">
        <v>56</v>
      </c>
      <c r="AB132">
        <v>4</v>
      </c>
      <c r="AC132" t="s">
        <v>57</v>
      </c>
      <c r="AD132" t="s">
        <v>58</v>
      </c>
      <c r="AE132">
        <v>4.4800000000000004</v>
      </c>
      <c r="AF132">
        <v>5</v>
      </c>
      <c r="AG132">
        <v>6</v>
      </c>
      <c r="AH132" s="1">
        <v>43468</v>
      </c>
      <c r="AI132">
        <v>0</v>
      </c>
      <c r="AJ132">
        <v>4</v>
      </c>
      <c r="AK132" t="str">
        <f t="shared" si="8"/>
        <v>Technical</v>
      </c>
      <c r="AL132">
        <f t="shared" ca="1" si="9"/>
        <v>11</v>
      </c>
      <c r="AM132" t="str">
        <f t="shared" ca="1" si="10"/>
        <v>10+ Years</v>
      </c>
      <c r="AN132" t="str">
        <f t="shared" si="11"/>
        <v>Other</v>
      </c>
    </row>
    <row r="133" spans="1:40">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W133" s="1"/>
      <c r="X133" t="s">
        <v>44</v>
      </c>
      <c r="Y133" t="s">
        <v>45</v>
      </c>
      <c r="Z133" t="s">
        <v>141</v>
      </c>
      <c r="AA133" t="s">
        <v>131</v>
      </c>
      <c r="AB133">
        <v>2</v>
      </c>
      <c r="AC133" t="s">
        <v>48</v>
      </c>
      <c r="AD133" t="s">
        <v>58</v>
      </c>
      <c r="AE133">
        <v>4.5</v>
      </c>
      <c r="AF133">
        <v>4</v>
      </c>
      <c r="AG133">
        <v>0</v>
      </c>
      <c r="AH133" s="1">
        <v>43486</v>
      </c>
      <c r="AI133">
        <v>0</v>
      </c>
      <c r="AJ133">
        <v>19</v>
      </c>
      <c r="AK133" t="str">
        <f t="shared" si="8"/>
        <v>Non-Technical</v>
      </c>
      <c r="AL133">
        <f t="shared" ca="1" si="9"/>
        <v>11</v>
      </c>
      <c r="AM133" t="str">
        <f t="shared" ca="1" si="10"/>
        <v>10+ Years</v>
      </c>
      <c r="AN133" t="str">
        <f t="shared" si="11"/>
        <v>Other</v>
      </c>
    </row>
    <row r="134" spans="1:40">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c r="AK134" t="str">
        <f t="shared" si="8"/>
        <v>Non-Technical</v>
      </c>
      <c r="AL134">
        <f t="shared" ca="1" si="9"/>
        <v>0</v>
      </c>
      <c r="AM134" t="str">
        <f t="shared" ca="1" si="10"/>
        <v>0-2 Years</v>
      </c>
      <c r="AN134" t="str">
        <f t="shared" si="11"/>
        <v>Other</v>
      </c>
    </row>
    <row r="135" spans="1:40">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W135" s="1"/>
      <c r="X135" t="s">
        <v>44</v>
      </c>
      <c r="Y135" t="s">
        <v>45</v>
      </c>
      <c r="Z135" t="s">
        <v>46</v>
      </c>
      <c r="AA135" t="s">
        <v>79</v>
      </c>
      <c r="AB135">
        <v>19</v>
      </c>
      <c r="AC135" t="s">
        <v>48</v>
      </c>
      <c r="AD135" t="s">
        <v>58</v>
      </c>
      <c r="AE135">
        <v>4.8</v>
      </c>
      <c r="AF135">
        <v>4</v>
      </c>
      <c r="AG135">
        <v>0</v>
      </c>
      <c r="AH135" s="1">
        <v>43472</v>
      </c>
      <c r="AI135">
        <v>0</v>
      </c>
      <c r="AJ135">
        <v>4</v>
      </c>
      <c r="AK135" t="str">
        <f t="shared" si="8"/>
        <v>Non-Technical</v>
      </c>
      <c r="AL135">
        <f t="shared" ca="1" si="9"/>
        <v>14</v>
      </c>
      <c r="AM135" t="str">
        <f t="shared" ca="1" si="10"/>
        <v>10+ Years</v>
      </c>
      <c r="AN135" t="str">
        <f t="shared" si="11"/>
        <v>Technician</v>
      </c>
    </row>
    <row r="136" spans="1:40">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W136" s="1"/>
      <c r="X136" t="s">
        <v>44</v>
      </c>
      <c r="Y136" t="s">
        <v>45</v>
      </c>
      <c r="Z136" t="s">
        <v>46</v>
      </c>
      <c r="AA136" t="s">
        <v>65</v>
      </c>
      <c r="AB136">
        <v>16</v>
      </c>
      <c r="AC136" t="s">
        <v>48</v>
      </c>
      <c r="AD136" t="s">
        <v>58</v>
      </c>
      <c r="AE136">
        <v>3</v>
      </c>
      <c r="AF136">
        <v>5</v>
      </c>
      <c r="AG136">
        <v>0</v>
      </c>
      <c r="AH136" s="1">
        <v>43483</v>
      </c>
      <c r="AI136">
        <v>0</v>
      </c>
      <c r="AJ136">
        <v>4</v>
      </c>
      <c r="AK136" t="str">
        <f t="shared" si="8"/>
        <v>Non-Technical</v>
      </c>
      <c r="AL136">
        <f t="shared" ca="1" si="9"/>
        <v>9</v>
      </c>
      <c r="AM136" t="str">
        <f t="shared" ca="1" si="10"/>
        <v>5-10 Years</v>
      </c>
      <c r="AN136" t="str">
        <f t="shared" si="11"/>
        <v>Technician</v>
      </c>
    </row>
    <row r="137" spans="1:40">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W137" s="1"/>
      <c r="X137" t="s">
        <v>44</v>
      </c>
      <c r="Y137" t="s">
        <v>45</v>
      </c>
      <c r="Z137" t="s">
        <v>46</v>
      </c>
      <c r="AA137" t="s">
        <v>69</v>
      </c>
      <c r="AC137" t="s">
        <v>57</v>
      </c>
      <c r="AD137" t="s">
        <v>58</v>
      </c>
      <c r="AE137">
        <v>4.5</v>
      </c>
      <c r="AF137">
        <v>3</v>
      </c>
      <c r="AG137">
        <v>0</v>
      </c>
      <c r="AH137" s="1">
        <v>43510</v>
      </c>
      <c r="AI137">
        <v>0</v>
      </c>
      <c r="AJ137">
        <v>6</v>
      </c>
      <c r="AK137" t="str">
        <f t="shared" si="8"/>
        <v>Non-Technical</v>
      </c>
      <c r="AL137">
        <f t="shared" ca="1" si="9"/>
        <v>10</v>
      </c>
      <c r="AM137" t="str">
        <f t="shared" ca="1" si="10"/>
        <v>10+ Years</v>
      </c>
      <c r="AN137" t="str">
        <f t="shared" si="11"/>
        <v>Technician</v>
      </c>
    </row>
    <row r="138" spans="1:40">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c r="AK138" t="str">
        <f t="shared" si="8"/>
        <v>Non-Technical</v>
      </c>
      <c r="AL138">
        <f t="shared" ca="1" si="9"/>
        <v>2</v>
      </c>
      <c r="AM138" t="str">
        <f t="shared" ca="1" si="10"/>
        <v>2-5 Years</v>
      </c>
      <c r="AN138" t="str">
        <f t="shared" si="11"/>
        <v>Technician</v>
      </c>
    </row>
    <row r="139" spans="1:40">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c r="AK139" t="str">
        <f t="shared" si="8"/>
        <v>Non-Technical</v>
      </c>
      <c r="AL139">
        <f t="shared" ca="1" si="9"/>
        <v>1</v>
      </c>
      <c r="AM139" t="str">
        <f t="shared" ca="1" si="10"/>
        <v>0-2 Years</v>
      </c>
      <c r="AN139" t="str">
        <f t="shared" si="11"/>
        <v>Manager</v>
      </c>
    </row>
    <row r="140" spans="1:40">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W140" s="1"/>
      <c r="X140" t="s">
        <v>44</v>
      </c>
      <c r="Y140" t="s">
        <v>45</v>
      </c>
      <c r="Z140" t="s">
        <v>46</v>
      </c>
      <c r="AA140" t="s">
        <v>83</v>
      </c>
      <c r="AB140">
        <v>12</v>
      </c>
      <c r="AC140" t="s">
        <v>57</v>
      </c>
      <c r="AD140" t="s">
        <v>58</v>
      </c>
      <c r="AE140">
        <v>3.99</v>
      </c>
      <c r="AF140">
        <v>3</v>
      </c>
      <c r="AG140">
        <v>0</v>
      </c>
      <c r="AH140" s="1">
        <v>43479</v>
      </c>
      <c r="AI140">
        <v>0</v>
      </c>
      <c r="AJ140">
        <v>14</v>
      </c>
      <c r="AK140" t="str">
        <f t="shared" si="8"/>
        <v>Non-Technical</v>
      </c>
      <c r="AL140">
        <f t="shared" ca="1" si="9"/>
        <v>12</v>
      </c>
      <c r="AM140" t="str">
        <f t="shared" ca="1" si="10"/>
        <v>10+ Years</v>
      </c>
      <c r="AN140" t="str">
        <f t="shared" si="11"/>
        <v>Technician</v>
      </c>
    </row>
    <row r="141" spans="1:40">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W141" s="1"/>
      <c r="X141" t="s">
        <v>44</v>
      </c>
      <c r="Y141" t="s">
        <v>45</v>
      </c>
      <c r="Z141" t="s">
        <v>46</v>
      </c>
      <c r="AA141" t="s">
        <v>91</v>
      </c>
      <c r="AB141">
        <v>14</v>
      </c>
      <c r="AC141" t="s">
        <v>48</v>
      </c>
      <c r="AD141" t="s">
        <v>58</v>
      </c>
      <c r="AE141">
        <v>4.0999999999999996</v>
      </c>
      <c r="AF141">
        <v>3</v>
      </c>
      <c r="AG141">
        <v>0</v>
      </c>
      <c r="AH141" s="1">
        <v>43482</v>
      </c>
      <c r="AI141">
        <v>0</v>
      </c>
      <c r="AJ141">
        <v>7</v>
      </c>
      <c r="AK141" t="str">
        <f t="shared" si="8"/>
        <v>Non-Technical</v>
      </c>
      <c r="AL141">
        <f t="shared" ca="1" si="9"/>
        <v>13</v>
      </c>
      <c r="AM141" t="str">
        <f t="shared" ca="1" si="10"/>
        <v>10+ Years</v>
      </c>
      <c r="AN141" t="str">
        <f t="shared" si="11"/>
        <v>Technician</v>
      </c>
    </row>
    <row r="142" spans="1:40">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W142" s="1"/>
      <c r="X142" t="s">
        <v>44</v>
      </c>
      <c r="Y142" t="s">
        <v>45</v>
      </c>
      <c r="Z142" t="s">
        <v>46</v>
      </c>
      <c r="AA142" t="s">
        <v>63</v>
      </c>
      <c r="AB142">
        <v>20</v>
      </c>
      <c r="AC142" t="s">
        <v>80</v>
      </c>
      <c r="AD142" t="s">
        <v>58</v>
      </c>
      <c r="AE142">
        <v>4.3</v>
      </c>
      <c r="AF142">
        <v>5</v>
      </c>
      <c r="AG142">
        <v>0</v>
      </c>
      <c r="AH142" s="1">
        <v>43518</v>
      </c>
      <c r="AI142">
        <v>0</v>
      </c>
      <c r="AJ142">
        <v>7</v>
      </c>
      <c r="AK142" t="str">
        <f t="shared" si="8"/>
        <v>Non-Technical</v>
      </c>
      <c r="AL142">
        <f t="shared" ca="1" si="9"/>
        <v>12</v>
      </c>
      <c r="AM142" t="str">
        <f t="shared" ca="1" si="10"/>
        <v>10+ Years</v>
      </c>
      <c r="AN142" t="str">
        <f t="shared" si="11"/>
        <v>Technician</v>
      </c>
    </row>
    <row r="143" spans="1:40">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W143" s="1"/>
      <c r="X143" t="s">
        <v>44</v>
      </c>
      <c r="Y143" t="s">
        <v>45</v>
      </c>
      <c r="Z143" t="s">
        <v>46</v>
      </c>
      <c r="AA143" t="s">
        <v>79</v>
      </c>
      <c r="AB143">
        <v>19</v>
      </c>
      <c r="AC143" t="s">
        <v>48</v>
      </c>
      <c r="AD143" t="s">
        <v>49</v>
      </c>
      <c r="AE143">
        <v>4.5999999999999996</v>
      </c>
      <c r="AF143">
        <v>4</v>
      </c>
      <c r="AG143">
        <v>0</v>
      </c>
      <c r="AH143" s="1">
        <v>43521</v>
      </c>
      <c r="AI143">
        <v>0</v>
      </c>
      <c r="AJ143">
        <v>11</v>
      </c>
      <c r="AK143" t="str">
        <f t="shared" si="8"/>
        <v>Non-Technical</v>
      </c>
      <c r="AL143">
        <f t="shared" ca="1" si="9"/>
        <v>14</v>
      </c>
      <c r="AM143" t="str">
        <f t="shared" ca="1" si="10"/>
        <v>10+ Years</v>
      </c>
      <c r="AN143" t="str">
        <f t="shared" si="11"/>
        <v>Technician</v>
      </c>
    </row>
    <row r="144" spans="1:40">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W144" s="1"/>
      <c r="X144" t="s">
        <v>44</v>
      </c>
      <c r="Y144" t="s">
        <v>45</v>
      </c>
      <c r="Z144" t="s">
        <v>46</v>
      </c>
      <c r="AA144" t="s">
        <v>99</v>
      </c>
      <c r="AB144">
        <v>18</v>
      </c>
      <c r="AC144" t="s">
        <v>48</v>
      </c>
      <c r="AD144" t="s">
        <v>58</v>
      </c>
      <c r="AE144">
        <v>5</v>
      </c>
      <c r="AF144">
        <v>5</v>
      </c>
      <c r="AG144">
        <v>0</v>
      </c>
      <c r="AH144" s="1">
        <v>43486</v>
      </c>
      <c r="AI144">
        <v>0</v>
      </c>
      <c r="AJ144">
        <v>9</v>
      </c>
      <c r="AK144" t="str">
        <f t="shared" si="8"/>
        <v>Non-Technical</v>
      </c>
      <c r="AL144">
        <f t="shared" ca="1" si="9"/>
        <v>12</v>
      </c>
      <c r="AM144" t="str">
        <f t="shared" ca="1" si="10"/>
        <v>10+ Years</v>
      </c>
      <c r="AN144" t="str">
        <f t="shared" si="11"/>
        <v>Technician</v>
      </c>
    </row>
    <row r="145" spans="1:40">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c r="AK145" t="str">
        <f t="shared" si="8"/>
        <v>Non-Technical</v>
      </c>
      <c r="AL145">
        <f t="shared" ca="1" si="9"/>
        <v>6</v>
      </c>
      <c r="AM145" t="str">
        <f t="shared" ca="1" si="10"/>
        <v>5-10 Years</v>
      </c>
      <c r="AN145" t="str">
        <f t="shared" si="11"/>
        <v>Technician</v>
      </c>
    </row>
    <row r="146" spans="1:40">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W146" s="1"/>
      <c r="X146" t="s">
        <v>44</v>
      </c>
      <c r="Y146" t="s">
        <v>45</v>
      </c>
      <c r="Z146" t="s">
        <v>55</v>
      </c>
      <c r="AA146" t="s">
        <v>56</v>
      </c>
      <c r="AB146">
        <v>4</v>
      </c>
      <c r="AC146" t="s">
        <v>57</v>
      </c>
      <c r="AD146" t="s">
        <v>58</v>
      </c>
      <c r="AE146">
        <v>3.75</v>
      </c>
      <c r="AF146">
        <v>3</v>
      </c>
      <c r="AG146">
        <v>5</v>
      </c>
      <c r="AH146" s="1">
        <v>43507</v>
      </c>
      <c r="AI146">
        <v>0</v>
      </c>
      <c r="AJ146">
        <v>2</v>
      </c>
      <c r="AK146" t="str">
        <f t="shared" si="8"/>
        <v>Technical</v>
      </c>
      <c r="AL146">
        <f t="shared" ca="1" si="9"/>
        <v>11</v>
      </c>
      <c r="AM146" t="str">
        <f t="shared" ca="1" si="10"/>
        <v>10+ Years</v>
      </c>
      <c r="AN146" t="str">
        <f t="shared" si="11"/>
        <v>Other</v>
      </c>
    </row>
    <row r="147" spans="1:40">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W147" s="1"/>
      <c r="X147" t="s">
        <v>44</v>
      </c>
      <c r="Y147" t="s">
        <v>45</v>
      </c>
      <c r="Z147" t="s">
        <v>46</v>
      </c>
      <c r="AA147" t="s">
        <v>83</v>
      </c>
      <c r="AB147">
        <v>12</v>
      </c>
      <c r="AC147" t="s">
        <v>48</v>
      </c>
      <c r="AD147" t="s">
        <v>49</v>
      </c>
      <c r="AE147">
        <v>4.3</v>
      </c>
      <c r="AF147">
        <v>3</v>
      </c>
      <c r="AG147">
        <v>0</v>
      </c>
      <c r="AH147" s="1">
        <v>43476</v>
      </c>
      <c r="AI147">
        <v>0</v>
      </c>
      <c r="AJ147">
        <v>1</v>
      </c>
      <c r="AK147" t="str">
        <f t="shared" si="8"/>
        <v>Non-Technical</v>
      </c>
      <c r="AL147">
        <f t="shared" ca="1" si="9"/>
        <v>11</v>
      </c>
      <c r="AM147" t="str">
        <f t="shared" ca="1" si="10"/>
        <v>10+ Years</v>
      </c>
      <c r="AN147" t="str">
        <f t="shared" si="11"/>
        <v>Technician</v>
      </c>
    </row>
    <row r="148" spans="1:40">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c r="AK148" t="str">
        <f t="shared" si="8"/>
        <v>Non-Technical</v>
      </c>
      <c r="AL148">
        <f t="shared" ca="1" si="9"/>
        <v>5</v>
      </c>
      <c r="AM148" t="str">
        <f t="shared" ca="1" si="10"/>
        <v>5-10 Years</v>
      </c>
      <c r="AN148" t="str">
        <f t="shared" si="11"/>
        <v>Technician</v>
      </c>
    </row>
    <row r="149" spans="1:40">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c r="AK149" t="str">
        <f t="shared" si="8"/>
        <v>Non-Technical</v>
      </c>
      <c r="AL149">
        <f t="shared" ca="1" si="9"/>
        <v>2</v>
      </c>
      <c r="AM149" t="str">
        <f t="shared" ca="1" si="10"/>
        <v>2-5 Years</v>
      </c>
      <c r="AN149" t="str">
        <f t="shared" si="11"/>
        <v>Manager</v>
      </c>
    </row>
    <row r="150" spans="1:40">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W150" s="1"/>
      <c r="X150" t="s">
        <v>44</v>
      </c>
      <c r="Y150" t="s">
        <v>45</v>
      </c>
      <c r="Z150" t="s">
        <v>46</v>
      </c>
      <c r="AA150" t="s">
        <v>47</v>
      </c>
      <c r="AB150">
        <v>22</v>
      </c>
      <c r="AC150" t="s">
        <v>57</v>
      </c>
      <c r="AD150" t="s">
        <v>58</v>
      </c>
      <c r="AE150">
        <v>3.07</v>
      </c>
      <c r="AF150">
        <v>4</v>
      </c>
      <c r="AG150">
        <v>0</v>
      </c>
      <c r="AH150" s="1">
        <v>43488</v>
      </c>
      <c r="AI150">
        <v>0</v>
      </c>
      <c r="AJ150">
        <v>10</v>
      </c>
      <c r="AK150" t="str">
        <f t="shared" si="8"/>
        <v>Non-Technical</v>
      </c>
      <c r="AL150">
        <f t="shared" ca="1" si="9"/>
        <v>12</v>
      </c>
      <c r="AM150" t="str">
        <f t="shared" ca="1" si="10"/>
        <v>10+ Years</v>
      </c>
      <c r="AN150" t="str">
        <f t="shared" si="11"/>
        <v>Technician</v>
      </c>
    </row>
    <row r="151" spans="1:40">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W151" s="1"/>
      <c r="X151" t="s">
        <v>44</v>
      </c>
      <c r="Y151" t="s">
        <v>45</v>
      </c>
      <c r="Z151" t="s">
        <v>141</v>
      </c>
      <c r="AA151" t="s">
        <v>160</v>
      </c>
      <c r="AB151">
        <v>21</v>
      </c>
      <c r="AC151" t="s">
        <v>57</v>
      </c>
      <c r="AD151" t="s">
        <v>58</v>
      </c>
      <c r="AE151">
        <v>4.3</v>
      </c>
      <c r="AF151">
        <v>5</v>
      </c>
      <c r="AG151">
        <v>0</v>
      </c>
      <c r="AH151" s="1">
        <v>43487</v>
      </c>
      <c r="AI151">
        <v>0</v>
      </c>
      <c r="AJ151">
        <v>13</v>
      </c>
      <c r="AK151" t="str">
        <f t="shared" si="8"/>
        <v>Non-Technical</v>
      </c>
      <c r="AL151">
        <f t="shared" ca="1" si="9"/>
        <v>12</v>
      </c>
      <c r="AM151" t="str">
        <f t="shared" ca="1" si="10"/>
        <v>10+ Years</v>
      </c>
      <c r="AN151" t="str">
        <f t="shared" si="11"/>
        <v>Manager</v>
      </c>
    </row>
    <row r="152" spans="1:40">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W152" s="1"/>
      <c r="X152" t="s">
        <v>44</v>
      </c>
      <c r="Y152" t="s">
        <v>45</v>
      </c>
      <c r="Z152" t="s">
        <v>302</v>
      </c>
      <c r="AA152" t="s">
        <v>235</v>
      </c>
      <c r="AB152">
        <v>9</v>
      </c>
      <c r="AC152" t="s">
        <v>57</v>
      </c>
      <c r="AD152" t="s">
        <v>58</v>
      </c>
      <c r="AE152">
        <v>4.83</v>
      </c>
      <c r="AF152">
        <v>3</v>
      </c>
      <c r="AG152">
        <v>0</v>
      </c>
      <c r="AH152" s="1">
        <v>43482</v>
      </c>
      <c r="AI152">
        <v>0</v>
      </c>
      <c r="AJ152">
        <v>10</v>
      </c>
      <c r="AK152" t="str">
        <f t="shared" si="8"/>
        <v>Non-Technical</v>
      </c>
      <c r="AL152">
        <f t="shared" ca="1" si="9"/>
        <v>13</v>
      </c>
      <c r="AM152" t="str">
        <f t="shared" ca="1" si="10"/>
        <v>10+ Years</v>
      </c>
      <c r="AN152" t="str">
        <f t="shared" si="11"/>
        <v>Other</v>
      </c>
    </row>
    <row r="153" spans="1:40">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c r="AK153" t="str">
        <f t="shared" si="8"/>
        <v>Non-Technical</v>
      </c>
      <c r="AL153">
        <f t="shared" ca="1" si="9"/>
        <v>3</v>
      </c>
      <c r="AM153" t="str">
        <f t="shared" ca="1" si="10"/>
        <v>2-5 Years</v>
      </c>
      <c r="AN153" t="str">
        <f t="shared" si="11"/>
        <v>Technician</v>
      </c>
    </row>
    <row r="154" spans="1:40">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c r="AK154" t="str">
        <f t="shared" si="8"/>
        <v>Non-Technical</v>
      </c>
      <c r="AL154">
        <f t="shared" ca="1" si="9"/>
        <v>2</v>
      </c>
      <c r="AM154" t="str">
        <f t="shared" ca="1" si="10"/>
        <v>2-5 Years</v>
      </c>
      <c r="AN154" t="str">
        <f t="shared" si="11"/>
        <v>Technician</v>
      </c>
    </row>
    <row r="155" spans="1:40">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W155" s="1"/>
      <c r="X155" t="s">
        <v>44</v>
      </c>
      <c r="Y155" t="s">
        <v>45</v>
      </c>
      <c r="Z155" t="s">
        <v>46</v>
      </c>
      <c r="AA155" t="s">
        <v>79</v>
      </c>
      <c r="AB155">
        <v>19</v>
      </c>
      <c r="AC155" t="s">
        <v>48</v>
      </c>
      <c r="AD155" t="s">
        <v>58</v>
      </c>
      <c r="AE155">
        <v>3.1</v>
      </c>
      <c r="AF155">
        <v>3</v>
      </c>
      <c r="AG155">
        <v>0</v>
      </c>
      <c r="AH155" s="1">
        <v>43502</v>
      </c>
      <c r="AI155">
        <v>0</v>
      </c>
      <c r="AJ155">
        <v>3</v>
      </c>
      <c r="AK155" t="str">
        <f t="shared" si="8"/>
        <v>Non-Technical</v>
      </c>
      <c r="AL155">
        <f t="shared" ca="1" si="9"/>
        <v>12</v>
      </c>
      <c r="AM155" t="str">
        <f t="shared" ca="1" si="10"/>
        <v>10+ Years</v>
      </c>
      <c r="AN155" t="str">
        <f t="shared" si="11"/>
        <v>Technician</v>
      </c>
    </row>
    <row r="156" spans="1:40">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W156" s="1"/>
      <c r="X156" t="s">
        <v>44</v>
      </c>
      <c r="Y156" t="s">
        <v>45</v>
      </c>
      <c r="Z156" t="s">
        <v>46</v>
      </c>
      <c r="AA156" t="s">
        <v>83</v>
      </c>
      <c r="AB156">
        <v>12</v>
      </c>
      <c r="AC156" t="s">
        <v>57</v>
      </c>
      <c r="AD156" t="s">
        <v>58</v>
      </c>
      <c r="AE156">
        <v>3.38</v>
      </c>
      <c r="AF156">
        <v>3</v>
      </c>
      <c r="AG156">
        <v>0</v>
      </c>
      <c r="AH156" s="1">
        <v>43486</v>
      </c>
      <c r="AI156">
        <v>0</v>
      </c>
      <c r="AJ156">
        <v>17</v>
      </c>
      <c r="AK156" t="str">
        <f t="shared" si="8"/>
        <v>Non-Technical</v>
      </c>
      <c r="AL156">
        <f t="shared" ca="1" si="9"/>
        <v>15</v>
      </c>
      <c r="AM156" t="str">
        <f t="shared" ca="1" si="10"/>
        <v>10+ Years</v>
      </c>
      <c r="AN156" t="str">
        <f t="shared" si="11"/>
        <v>Technician</v>
      </c>
    </row>
    <row r="157" spans="1:40">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W157" s="1"/>
      <c r="X157" t="s">
        <v>44</v>
      </c>
      <c r="Y157" t="s">
        <v>45</v>
      </c>
      <c r="Z157" t="s">
        <v>141</v>
      </c>
      <c r="AA157" t="s">
        <v>142</v>
      </c>
      <c r="AB157">
        <v>17</v>
      </c>
      <c r="AC157" t="s">
        <v>84</v>
      </c>
      <c r="AD157" t="s">
        <v>58</v>
      </c>
      <c r="AE157">
        <v>3.65</v>
      </c>
      <c r="AF157">
        <v>5</v>
      </c>
      <c r="AG157">
        <v>0</v>
      </c>
      <c r="AH157" s="1">
        <v>43482</v>
      </c>
      <c r="AI157">
        <v>0</v>
      </c>
      <c r="AJ157">
        <v>20</v>
      </c>
      <c r="AK157" t="str">
        <f t="shared" si="8"/>
        <v>Non-Technical</v>
      </c>
      <c r="AL157">
        <f t="shared" ca="1" si="9"/>
        <v>15</v>
      </c>
      <c r="AM157" t="str">
        <f t="shared" ca="1" si="10"/>
        <v>10+ Years</v>
      </c>
      <c r="AN157" t="str">
        <f t="shared" si="11"/>
        <v>Manager</v>
      </c>
    </row>
    <row r="158" spans="1:40">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W158" s="1"/>
      <c r="X158" t="s">
        <v>44</v>
      </c>
      <c r="Y158" t="s">
        <v>45</v>
      </c>
      <c r="Z158" t="s">
        <v>55</v>
      </c>
      <c r="AA158" t="s">
        <v>87</v>
      </c>
      <c r="AB158">
        <v>7</v>
      </c>
      <c r="AC158" t="s">
        <v>80</v>
      </c>
      <c r="AD158" t="s">
        <v>58</v>
      </c>
      <c r="AE158">
        <v>4.46</v>
      </c>
      <c r="AF158">
        <v>5</v>
      </c>
      <c r="AG158">
        <v>6</v>
      </c>
      <c r="AH158" s="1">
        <v>43472</v>
      </c>
      <c r="AI158">
        <v>0</v>
      </c>
      <c r="AJ158">
        <v>7</v>
      </c>
      <c r="AK158" t="str">
        <f t="shared" si="8"/>
        <v>Technical</v>
      </c>
      <c r="AL158">
        <f t="shared" ca="1" si="9"/>
        <v>11</v>
      </c>
      <c r="AM158" t="str">
        <f t="shared" ca="1" si="10"/>
        <v>10+ Years</v>
      </c>
      <c r="AN158" t="str">
        <f t="shared" si="11"/>
        <v>Other</v>
      </c>
    </row>
    <row r="159" spans="1:40">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c r="AK159" t="str">
        <f t="shared" si="8"/>
        <v>Non-Technical</v>
      </c>
      <c r="AL159">
        <f t="shared" ca="1" si="9"/>
        <v>4</v>
      </c>
      <c r="AM159" t="str">
        <f t="shared" ca="1" si="10"/>
        <v>2-5 Years</v>
      </c>
      <c r="AN159" t="str">
        <f t="shared" si="11"/>
        <v>Manager</v>
      </c>
    </row>
    <row r="160" spans="1:40">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c r="AK160" t="str">
        <f t="shared" si="8"/>
        <v>Non-Technical</v>
      </c>
      <c r="AL160">
        <f t="shared" ca="1" si="9"/>
        <v>1</v>
      </c>
      <c r="AM160" t="str">
        <f t="shared" ca="1" si="10"/>
        <v>0-2 Years</v>
      </c>
      <c r="AN160" t="str">
        <f t="shared" si="11"/>
        <v>Technician</v>
      </c>
    </row>
    <row r="161" spans="1:40">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W161" s="1"/>
      <c r="X161" t="s">
        <v>44</v>
      </c>
      <c r="Y161" t="s">
        <v>45</v>
      </c>
      <c r="Z161" t="s">
        <v>46</v>
      </c>
      <c r="AA161" t="s">
        <v>91</v>
      </c>
      <c r="AB161">
        <v>14</v>
      </c>
      <c r="AC161" t="s">
        <v>48</v>
      </c>
      <c r="AD161" t="s">
        <v>58</v>
      </c>
      <c r="AE161">
        <v>5</v>
      </c>
      <c r="AF161">
        <v>5</v>
      </c>
      <c r="AG161">
        <v>0</v>
      </c>
      <c r="AH161" s="1">
        <v>43500</v>
      </c>
      <c r="AI161">
        <v>0</v>
      </c>
      <c r="AJ161">
        <v>13</v>
      </c>
      <c r="AK161" t="str">
        <f t="shared" si="8"/>
        <v>Non-Technical</v>
      </c>
      <c r="AL161">
        <f t="shared" ca="1" si="9"/>
        <v>13</v>
      </c>
      <c r="AM161" t="str">
        <f t="shared" ca="1" si="10"/>
        <v>10+ Years</v>
      </c>
      <c r="AN161" t="str">
        <f t="shared" si="11"/>
        <v>Technician</v>
      </c>
    </row>
    <row r="162" spans="1:40">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W162" s="1"/>
      <c r="X162" t="s">
        <v>44</v>
      </c>
      <c r="Y162" t="s">
        <v>45</v>
      </c>
      <c r="Z162" t="s">
        <v>126</v>
      </c>
      <c r="AA162" t="s">
        <v>127</v>
      </c>
      <c r="AB162">
        <v>1</v>
      </c>
      <c r="AC162" t="s">
        <v>201</v>
      </c>
      <c r="AD162" t="s">
        <v>58</v>
      </c>
      <c r="AE162">
        <v>5</v>
      </c>
      <c r="AF162">
        <v>4</v>
      </c>
      <c r="AG162">
        <v>4</v>
      </c>
      <c r="AH162" s="1">
        <v>43482</v>
      </c>
      <c r="AI162">
        <v>0</v>
      </c>
      <c r="AJ162">
        <v>3</v>
      </c>
      <c r="AK162" t="str">
        <f t="shared" si="8"/>
        <v>Non-Technical</v>
      </c>
      <c r="AL162">
        <f t="shared" ca="1" si="9"/>
        <v>12</v>
      </c>
      <c r="AM162" t="str">
        <f t="shared" ca="1" si="10"/>
        <v>10+ Years</v>
      </c>
      <c r="AN162" t="str">
        <f t="shared" si="11"/>
        <v>Other</v>
      </c>
    </row>
    <row r="163" spans="1:40">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c r="AK163" t="str">
        <f t="shared" si="8"/>
        <v>Non-Technical</v>
      </c>
      <c r="AL163">
        <f t="shared" ca="1" si="9"/>
        <v>1</v>
      </c>
      <c r="AM163" t="str">
        <f t="shared" ca="1" si="10"/>
        <v>0-2 Years</v>
      </c>
      <c r="AN163" t="str">
        <f t="shared" si="11"/>
        <v>Technician</v>
      </c>
    </row>
    <row r="164" spans="1:40">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W164" s="1"/>
      <c r="X164" t="s">
        <v>44</v>
      </c>
      <c r="Y164" t="s">
        <v>45</v>
      </c>
      <c r="Z164" t="s">
        <v>55</v>
      </c>
      <c r="AA164" t="s">
        <v>197</v>
      </c>
      <c r="AB164">
        <v>13</v>
      </c>
      <c r="AC164" t="s">
        <v>57</v>
      </c>
      <c r="AD164" t="s">
        <v>58</v>
      </c>
      <c r="AE164">
        <v>4.0999999999999996</v>
      </c>
      <c r="AF164">
        <v>5</v>
      </c>
      <c r="AG164">
        <v>7</v>
      </c>
      <c r="AH164" s="1">
        <v>43473</v>
      </c>
      <c r="AI164">
        <v>0</v>
      </c>
      <c r="AJ164">
        <v>2</v>
      </c>
      <c r="AK164" t="str">
        <f t="shared" si="8"/>
        <v>Technical</v>
      </c>
      <c r="AL164">
        <f t="shared" ca="1" si="9"/>
        <v>9</v>
      </c>
      <c r="AM164" t="str">
        <f t="shared" ca="1" si="10"/>
        <v>5-10 Years</v>
      </c>
      <c r="AN164" t="str">
        <f t="shared" si="11"/>
        <v>Other</v>
      </c>
    </row>
    <row r="165" spans="1:40">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c r="AK165" t="str">
        <f t="shared" si="8"/>
        <v>Non-Technical</v>
      </c>
      <c r="AL165">
        <f t="shared" ca="1" si="9"/>
        <v>6</v>
      </c>
      <c r="AM165" t="str">
        <f t="shared" ca="1" si="10"/>
        <v>5-10 Years</v>
      </c>
      <c r="AN165" t="str">
        <f t="shared" si="11"/>
        <v>Technician</v>
      </c>
    </row>
    <row r="166" spans="1:40">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W166" s="1"/>
      <c r="X166" t="s">
        <v>44</v>
      </c>
      <c r="Y166" t="s">
        <v>45</v>
      </c>
      <c r="Z166" t="s">
        <v>126</v>
      </c>
      <c r="AA166" t="s">
        <v>131</v>
      </c>
      <c r="AB166">
        <v>2</v>
      </c>
      <c r="AC166" t="s">
        <v>117</v>
      </c>
      <c r="AD166" t="s">
        <v>58</v>
      </c>
      <c r="AE166">
        <v>4.0999999999999996</v>
      </c>
      <c r="AF166">
        <v>4</v>
      </c>
      <c r="AG166">
        <v>0</v>
      </c>
      <c r="AH166" s="1">
        <v>43493</v>
      </c>
      <c r="AI166">
        <v>0</v>
      </c>
      <c r="AJ166">
        <v>20</v>
      </c>
      <c r="AK166" t="str">
        <f t="shared" si="8"/>
        <v>Non-Technical</v>
      </c>
      <c r="AL166">
        <f t="shared" ca="1" si="9"/>
        <v>10</v>
      </c>
      <c r="AM166" t="str">
        <f t="shared" ca="1" si="10"/>
        <v>10+ Years</v>
      </c>
      <c r="AN166" t="str">
        <f t="shared" si="11"/>
        <v>Manager</v>
      </c>
    </row>
    <row r="167" spans="1:40">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W167" s="1"/>
      <c r="X167" t="s">
        <v>44</v>
      </c>
      <c r="Y167" t="s">
        <v>45</v>
      </c>
      <c r="Z167" t="s">
        <v>46</v>
      </c>
      <c r="AA167" t="s">
        <v>65</v>
      </c>
      <c r="AB167">
        <v>16</v>
      </c>
      <c r="AC167" t="s">
        <v>70</v>
      </c>
      <c r="AD167" t="s">
        <v>58</v>
      </c>
      <c r="AE167">
        <v>4.0999999999999996</v>
      </c>
      <c r="AF167">
        <v>3</v>
      </c>
      <c r="AG167">
        <v>0</v>
      </c>
      <c r="AH167" s="1">
        <v>43518</v>
      </c>
      <c r="AI167">
        <v>0</v>
      </c>
      <c r="AJ167">
        <v>10</v>
      </c>
      <c r="AK167" t="str">
        <f t="shared" si="8"/>
        <v>Non-Technical</v>
      </c>
      <c r="AL167">
        <f t="shared" ca="1" si="9"/>
        <v>13</v>
      </c>
      <c r="AM167" t="str">
        <f t="shared" ca="1" si="10"/>
        <v>10+ Years</v>
      </c>
      <c r="AN167" t="str">
        <f t="shared" si="11"/>
        <v>Technician</v>
      </c>
    </row>
    <row r="168" spans="1:40">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W168" s="1"/>
      <c r="X168" t="s">
        <v>44</v>
      </c>
      <c r="Y168" t="s">
        <v>45</v>
      </c>
      <c r="Z168" t="s">
        <v>141</v>
      </c>
      <c r="AA168" t="s">
        <v>142</v>
      </c>
      <c r="AB168">
        <v>17</v>
      </c>
      <c r="AC168" t="s">
        <v>201</v>
      </c>
      <c r="AD168" t="s">
        <v>58</v>
      </c>
      <c r="AE168">
        <v>4.53</v>
      </c>
      <c r="AF168">
        <v>3</v>
      </c>
      <c r="AG168">
        <v>0</v>
      </c>
      <c r="AH168" s="1">
        <v>43494</v>
      </c>
      <c r="AI168">
        <v>0</v>
      </c>
      <c r="AJ168">
        <v>16</v>
      </c>
      <c r="AK168" t="str">
        <f t="shared" si="8"/>
        <v>Non-Technical</v>
      </c>
      <c r="AL168">
        <f t="shared" ca="1" si="9"/>
        <v>13</v>
      </c>
      <c r="AM168" t="str">
        <f t="shared" ca="1" si="10"/>
        <v>10+ Years</v>
      </c>
      <c r="AN168" t="str">
        <f t="shared" si="11"/>
        <v>Manager</v>
      </c>
    </row>
    <row r="169" spans="1:40">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W169" s="1"/>
      <c r="X169" t="s">
        <v>44</v>
      </c>
      <c r="Y169" t="s">
        <v>45</v>
      </c>
      <c r="Z169" t="s">
        <v>46</v>
      </c>
      <c r="AA169" t="s">
        <v>131</v>
      </c>
      <c r="AB169">
        <v>2</v>
      </c>
      <c r="AC169" t="s">
        <v>201</v>
      </c>
      <c r="AD169" t="s">
        <v>49</v>
      </c>
      <c r="AE169">
        <v>4.0999999999999996</v>
      </c>
      <c r="AF169">
        <v>3</v>
      </c>
      <c r="AG169">
        <v>0</v>
      </c>
      <c r="AH169" s="1">
        <v>43486</v>
      </c>
      <c r="AI169">
        <v>0</v>
      </c>
      <c r="AJ169">
        <v>11</v>
      </c>
      <c r="AK169" t="str">
        <f t="shared" si="8"/>
        <v>Non-Technical</v>
      </c>
      <c r="AL169">
        <f t="shared" ca="1" si="9"/>
        <v>12</v>
      </c>
      <c r="AM169" t="str">
        <f t="shared" ca="1" si="10"/>
        <v>10+ Years</v>
      </c>
      <c r="AN169" t="str">
        <f t="shared" si="11"/>
        <v>Manager</v>
      </c>
    </row>
    <row r="170" spans="1:40">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c r="AK170" t="str">
        <f t="shared" si="8"/>
        <v>Non-Technical</v>
      </c>
      <c r="AL170">
        <f t="shared" ca="1" si="9"/>
        <v>7</v>
      </c>
      <c r="AM170" t="str">
        <f t="shared" ca="1" si="10"/>
        <v>5-10 Years</v>
      </c>
      <c r="AN170" t="str">
        <f t="shared" si="11"/>
        <v>Technician</v>
      </c>
    </row>
    <row r="171" spans="1:40">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W171" s="1"/>
      <c r="X171" t="s">
        <v>44</v>
      </c>
      <c r="Y171" t="s">
        <v>45</v>
      </c>
      <c r="Z171" t="s">
        <v>46</v>
      </c>
      <c r="AA171" t="s">
        <v>99</v>
      </c>
      <c r="AB171">
        <v>18</v>
      </c>
      <c r="AC171" t="s">
        <v>48</v>
      </c>
      <c r="AD171" t="s">
        <v>58</v>
      </c>
      <c r="AE171">
        <v>4</v>
      </c>
      <c r="AF171">
        <v>3</v>
      </c>
      <c r="AG171">
        <v>0</v>
      </c>
      <c r="AH171" s="1">
        <v>43514</v>
      </c>
      <c r="AI171">
        <v>0</v>
      </c>
      <c r="AJ171">
        <v>7</v>
      </c>
      <c r="AK171" t="str">
        <f t="shared" si="8"/>
        <v>Non-Technical</v>
      </c>
      <c r="AL171">
        <f t="shared" ca="1" si="9"/>
        <v>12</v>
      </c>
      <c r="AM171" t="str">
        <f t="shared" ca="1" si="10"/>
        <v>10+ Years</v>
      </c>
      <c r="AN171" t="str">
        <f t="shared" si="11"/>
        <v>Technician</v>
      </c>
    </row>
    <row r="172" spans="1:40">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W172" s="1"/>
      <c r="X172" t="s">
        <v>44</v>
      </c>
      <c r="Y172" t="s">
        <v>45</v>
      </c>
      <c r="Z172" t="s">
        <v>55</v>
      </c>
      <c r="AA172" t="s">
        <v>166</v>
      </c>
      <c r="AB172">
        <v>6</v>
      </c>
      <c r="AC172" t="s">
        <v>84</v>
      </c>
      <c r="AD172" t="s">
        <v>49</v>
      </c>
      <c r="AE172">
        <v>4.6399999999999997</v>
      </c>
      <c r="AF172">
        <v>4</v>
      </c>
      <c r="AG172">
        <v>5</v>
      </c>
      <c r="AH172" s="1">
        <v>43490</v>
      </c>
      <c r="AI172">
        <v>0</v>
      </c>
      <c r="AJ172">
        <v>14</v>
      </c>
      <c r="AK172" t="str">
        <f t="shared" si="8"/>
        <v>Technical</v>
      </c>
      <c r="AL172">
        <f t="shared" ca="1" si="9"/>
        <v>15</v>
      </c>
      <c r="AM172" t="str">
        <f t="shared" ca="1" si="10"/>
        <v>10+ Years</v>
      </c>
      <c r="AN172" t="str">
        <f t="shared" si="11"/>
        <v>Other</v>
      </c>
    </row>
    <row r="173" spans="1:40">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c r="AK173" t="str">
        <f t="shared" si="8"/>
        <v>Non-Technical</v>
      </c>
      <c r="AL173">
        <f t="shared" ca="1" si="9"/>
        <v>3</v>
      </c>
      <c r="AM173" t="str">
        <f t="shared" ca="1" si="10"/>
        <v>2-5 Years</v>
      </c>
      <c r="AN173" t="str">
        <f t="shared" si="11"/>
        <v>Technician</v>
      </c>
    </row>
    <row r="174" spans="1:40">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W174" s="1"/>
      <c r="X174" t="s">
        <v>44</v>
      </c>
      <c r="Y174" t="s">
        <v>45</v>
      </c>
      <c r="Z174" t="s">
        <v>46</v>
      </c>
      <c r="AA174" t="s">
        <v>65</v>
      </c>
      <c r="AB174">
        <v>16</v>
      </c>
      <c r="AC174" t="s">
        <v>57</v>
      </c>
      <c r="AD174" t="s">
        <v>49</v>
      </c>
      <c r="AE174">
        <v>4.2</v>
      </c>
      <c r="AF174">
        <v>4</v>
      </c>
      <c r="AG174">
        <v>0</v>
      </c>
      <c r="AH174" s="1">
        <v>43508</v>
      </c>
      <c r="AI174">
        <v>0</v>
      </c>
      <c r="AJ174">
        <v>19</v>
      </c>
      <c r="AK174" t="str">
        <f t="shared" si="8"/>
        <v>Non-Technical</v>
      </c>
      <c r="AL174">
        <f t="shared" ca="1" si="9"/>
        <v>12</v>
      </c>
      <c r="AM174" t="str">
        <f t="shared" ca="1" si="10"/>
        <v>10+ Years</v>
      </c>
      <c r="AN174" t="str">
        <f t="shared" si="11"/>
        <v>Technician</v>
      </c>
    </row>
    <row r="175" spans="1:40">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W175" s="1"/>
      <c r="X175" t="s">
        <v>44</v>
      </c>
      <c r="Y175" t="s">
        <v>45</v>
      </c>
      <c r="Z175" t="s">
        <v>46</v>
      </c>
      <c r="AA175" t="s">
        <v>65</v>
      </c>
      <c r="AB175">
        <v>16</v>
      </c>
      <c r="AC175" t="s">
        <v>201</v>
      </c>
      <c r="AD175" t="s">
        <v>58</v>
      </c>
      <c r="AE175">
        <v>5</v>
      </c>
      <c r="AF175">
        <v>3</v>
      </c>
      <c r="AG175">
        <v>0</v>
      </c>
      <c r="AH175" s="1">
        <v>43488</v>
      </c>
      <c r="AI175">
        <v>0</v>
      </c>
      <c r="AJ175">
        <v>6</v>
      </c>
      <c r="AK175" t="str">
        <f t="shared" si="8"/>
        <v>Non-Technical</v>
      </c>
      <c r="AL175">
        <f t="shared" ca="1" si="9"/>
        <v>11</v>
      </c>
      <c r="AM175" t="str">
        <f t="shared" ca="1" si="10"/>
        <v>10+ Years</v>
      </c>
      <c r="AN175" t="str">
        <f t="shared" si="11"/>
        <v>Technician</v>
      </c>
    </row>
    <row r="176" spans="1:40">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c r="AK176" t="str">
        <f t="shared" si="8"/>
        <v>Non-Technical</v>
      </c>
      <c r="AL176">
        <f t="shared" ca="1" si="9"/>
        <v>4</v>
      </c>
      <c r="AM176" t="str">
        <f t="shared" ca="1" si="10"/>
        <v>2-5 Years</v>
      </c>
      <c r="AN176" t="str">
        <f t="shared" si="11"/>
        <v>Technician</v>
      </c>
    </row>
    <row r="177" spans="1:40">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c r="AK177" t="str">
        <f t="shared" si="8"/>
        <v>Non-Technical</v>
      </c>
      <c r="AL177">
        <f t="shared" ca="1" si="9"/>
        <v>5</v>
      </c>
      <c r="AM177" t="str">
        <f t="shared" ca="1" si="10"/>
        <v>5-10 Years</v>
      </c>
      <c r="AN177" t="str">
        <f t="shared" si="11"/>
        <v>Technician</v>
      </c>
    </row>
    <row r="178" spans="1:40">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W178" s="1"/>
      <c r="X178" t="s">
        <v>44</v>
      </c>
      <c r="Y178" t="s">
        <v>45</v>
      </c>
      <c r="Z178" t="s">
        <v>46</v>
      </c>
      <c r="AA178" t="s">
        <v>79</v>
      </c>
      <c r="AB178">
        <v>19</v>
      </c>
      <c r="AC178" t="s">
        <v>48</v>
      </c>
      <c r="AD178" t="s">
        <v>58</v>
      </c>
      <c r="AE178">
        <v>4.5999999999999996</v>
      </c>
      <c r="AF178">
        <v>4</v>
      </c>
      <c r="AG178">
        <v>0</v>
      </c>
      <c r="AH178" s="1">
        <v>43522</v>
      </c>
      <c r="AI178">
        <v>0</v>
      </c>
      <c r="AJ178">
        <v>14</v>
      </c>
      <c r="AK178" t="str">
        <f t="shared" si="8"/>
        <v>Non-Technical</v>
      </c>
      <c r="AL178">
        <f t="shared" ca="1" si="9"/>
        <v>12</v>
      </c>
      <c r="AM178" t="str">
        <f t="shared" ca="1" si="10"/>
        <v>10+ Years</v>
      </c>
      <c r="AN178" t="str">
        <f t="shared" si="11"/>
        <v>Technician</v>
      </c>
    </row>
    <row r="179" spans="1:40">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W179" s="1"/>
      <c r="X179" t="s">
        <v>44</v>
      </c>
      <c r="Y179" t="s">
        <v>45</v>
      </c>
      <c r="Z179" t="s">
        <v>46</v>
      </c>
      <c r="AA179" t="s">
        <v>69</v>
      </c>
      <c r="AC179" t="s">
        <v>48</v>
      </c>
      <c r="AD179" t="s">
        <v>58</v>
      </c>
      <c r="AE179">
        <v>5</v>
      </c>
      <c r="AF179">
        <v>3</v>
      </c>
      <c r="AG179">
        <v>0</v>
      </c>
      <c r="AH179" s="1">
        <v>43486</v>
      </c>
      <c r="AI179">
        <v>0</v>
      </c>
      <c r="AJ179">
        <v>4</v>
      </c>
      <c r="AK179" t="str">
        <f t="shared" si="8"/>
        <v>Non-Technical</v>
      </c>
      <c r="AL179">
        <f t="shared" ca="1" si="9"/>
        <v>9</v>
      </c>
      <c r="AM179" t="str">
        <f t="shared" ca="1" si="10"/>
        <v>5-10 Years</v>
      </c>
      <c r="AN179" t="str">
        <f t="shared" si="11"/>
        <v>Technician</v>
      </c>
    </row>
    <row r="180" spans="1:40">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c r="AK180" t="str">
        <f t="shared" si="8"/>
        <v>Non-Technical</v>
      </c>
      <c r="AL180">
        <f t="shared" ca="1" si="9"/>
        <v>1</v>
      </c>
      <c r="AM180" t="str">
        <f t="shared" ca="1" si="10"/>
        <v>0-2 Years</v>
      </c>
      <c r="AN180" t="str">
        <f t="shared" si="11"/>
        <v>Technician</v>
      </c>
    </row>
    <row r="181" spans="1:40">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W181" s="1"/>
      <c r="X181" t="s">
        <v>44</v>
      </c>
      <c r="Y181" t="s">
        <v>45</v>
      </c>
      <c r="Z181" t="s">
        <v>46</v>
      </c>
      <c r="AA181" t="s">
        <v>83</v>
      </c>
      <c r="AB181">
        <v>12</v>
      </c>
      <c r="AC181" t="s">
        <v>48</v>
      </c>
      <c r="AD181" t="s">
        <v>58</v>
      </c>
      <c r="AE181">
        <v>4.0999999999999996</v>
      </c>
      <c r="AF181">
        <v>3</v>
      </c>
      <c r="AG181">
        <v>0</v>
      </c>
      <c r="AH181" s="1">
        <v>43487</v>
      </c>
      <c r="AI181">
        <v>0</v>
      </c>
      <c r="AJ181">
        <v>11</v>
      </c>
      <c r="AK181" t="str">
        <f t="shared" si="8"/>
        <v>Non-Technical</v>
      </c>
      <c r="AL181">
        <f t="shared" ca="1" si="9"/>
        <v>12</v>
      </c>
      <c r="AM181" t="str">
        <f t="shared" ca="1" si="10"/>
        <v>10+ Years</v>
      </c>
      <c r="AN181" t="str">
        <f t="shared" si="11"/>
        <v>Technician</v>
      </c>
    </row>
    <row r="182" spans="1:40">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W182" s="1"/>
      <c r="X182" t="s">
        <v>44</v>
      </c>
      <c r="Y182" t="s">
        <v>45</v>
      </c>
      <c r="Z182" t="s">
        <v>75</v>
      </c>
      <c r="AA182" t="s">
        <v>76</v>
      </c>
      <c r="AB182">
        <v>10</v>
      </c>
      <c r="AC182" t="s">
        <v>70</v>
      </c>
      <c r="AD182" t="s">
        <v>58</v>
      </c>
      <c r="AE182">
        <v>4.5</v>
      </c>
      <c r="AF182">
        <v>5</v>
      </c>
      <c r="AG182">
        <v>4</v>
      </c>
      <c r="AH182" s="1">
        <v>43479</v>
      </c>
      <c r="AI182">
        <v>0</v>
      </c>
      <c r="AJ182">
        <v>14</v>
      </c>
      <c r="AK182" t="str">
        <f t="shared" si="8"/>
        <v>Technical</v>
      </c>
      <c r="AL182">
        <f t="shared" ca="1" si="9"/>
        <v>12</v>
      </c>
      <c r="AM182" t="str">
        <f t="shared" ca="1" si="10"/>
        <v>10+ Years</v>
      </c>
      <c r="AN182" t="str">
        <f t="shared" si="11"/>
        <v>Other</v>
      </c>
    </row>
    <row r="183" spans="1:40">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W183" s="1"/>
      <c r="X183" t="s">
        <v>44</v>
      </c>
      <c r="Y183" t="s">
        <v>45</v>
      </c>
      <c r="Z183" t="s">
        <v>46</v>
      </c>
      <c r="AA183" t="s">
        <v>91</v>
      </c>
      <c r="AB183">
        <v>14</v>
      </c>
      <c r="AC183" t="s">
        <v>57</v>
      </c>
      <c r="AD183" t="s">
        <v>58</v>
      </c>
      <c r="AE183">
        <v>5</v>
      </c>
      <c r="AF183">
        <v>4</v>
      </c>
      <c r="AG183">
        <v>0</v>
      </c>
      <c r="AH183" s="1">
        <v>43475</v>
      </c>
      <c r="AI183">
        <v>0</v>
      </c>
      <c r="AJ183">
        <v>8</v>
      </c>
      <c r="AK183" t="str">
        <f t="shared" si="8"/>
        <v>Non-Technical</v>
      </c>
      <c r="AL183">
        <f t="shared" ca="1" si="9"/>
        <v>14</v>
      </c>
      <c r="AM183" t="str">
        <f t="shared" ca="1" si="10"/>
        <v>10+ Years</v>
      </c>
      <c r="AN183" t="str">
        <f t="shared" si="11"/>
        <v>Technician</v>
      </c>
    </row>
    <row r="184" spans="1:40">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W184" s="1"/>
      <c r="X184" t="s">
        <v>44</v>
      </c>
      <c r="Y184" t="s">
        <v>45</v>
      </c>
      <c r="Z184" t="s">
        <v>46</v>
      </c>
      <c r="AA184" t="s">
        <v>79</v>
      </c>
      <c r="AB184">
        <v>19</v>
      </c>
      <c r="AC184" t="s">
        <v>48</v>
      </c>
      <c r="AD184" t="s">
        <v>58</v>
      </c>
      <c r="AE184">
        <v>5</v>
      </c>
      <c r="AF184">
        <v>5</v>
      </c>
      <c r="AG184">
        <v>0</v>
      </c>
      <c r="AH184" s="1">
        <v>43503</v>
      </c>
      <c r="AI184">
        <v>0</v>
      </c>
      <c r="AJ184">
        <v>16</v>
      </c>
      <c r="AK184" t="str">
        <f t="shared" si="8"/>
        <v>Non-Technical</v>
      </c>
      <c r="AL184">
        <f t="shared" ca="1" si="9"/>
        <v>11</v>
      </c>
      <c r="AM184" t="str">
        <f t="shared" ca="1" si="10"/>
        <v>10+ Years</v>
      </c>
      <c r="AN184" t="str">
        <f t="shared" si="11"/>
        <v>Technician</v>
      </c>
    </row>
    <row r="185" spans="1:40">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W185" s="1"/>
      <c r="X185" t="s">
        <v>44</v>
      </c>
      <c r="Y185" t="s">
        <v>45</v>
      </c>
      <c r="Z185" t="s">
        <v>46</v>
      </c>
      <c r="AA185" t="s">
        <v>63</v>
      </c>
      <c r="AB185">
        <v>20</v>
      </c>
      <c r="AC185" t="s">
        <v>117</v>
      </c>
      <c r="AD185" t="s">
        <v>58</v>
      </c>
      <c r="AE185">
        <v>3.93</v>
      </c>
      <c r="AF185">
        <v>3</v>
      </c>
      <c r="AG185">
        <v>0</v>
      </c>
      <c r="AH185" s="1">
        <v>43495</v>
      </c>
      <c r="AI185">
        <v>0</v>
      </c>
      <c r="AJ185">
        <v>20</v>
      </c>
      <c r="AK185" t="str">
        <f t="shared" si="8"/>
        <v>Non-Technical</v>
      </c>
      <c r="AL185">
        <f t="shared" ca="1" si="9"/>
        <v>13</v>
      </c>
      <c r="AM185" t="str">
        <f t="shared" ca="1" si="10"/>
        <v>10+ Years</v>
      </c>
      <c r="AN185" t="str">
        <f t="shared" si="11"/>
        <v>Technician</v>
      </c>
    </row>
    <row r="186" spans="1:40">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W186" s="1"/>
      <c r="X186" t="s">
        <v>44</v>
      </c>
      <c r="Y186" t="s">
        <v>45</v>
      </c>
      <c r="Z186" t="s">
        <v>141</v>
      </c>
      <c r="AA186" t="s">
        <v>160</v>
      </c>
      <c r="AB186">
        <v>21</v>
      </c>
      <c r="AC186" t="s">
        <v>201</v>
      </c>
      <c r="AD186" t="s">
        <v>58</v>
      </c>
      <c r="AE186">
        <v>3.4</v>
      </c>
      <c r="AF186">
        <v>4</v>
      </c>
      <c r="AG186">
        <v>0</v>
      </c>
      <c r="AH186" s="1">
        <v>43494</v>
      </c>
      <c r="AI186">
        <v>0</v>
      </c>
      <c r="AJ186">
        <v>7</v>
      </c>
      <c r="AK186" t="str">
        <f t="shared" si="8"/>
        <v>Non-Technical</v>
      </c>
      <c r="AL186">
        <f t="shared" ca="1" si="9"/>
        <v>9</v>
      </c>
      <c r="AM186" t="str">
        <f t="shared" ca="1" si="10"/>
        <v>5-10 Years</v>
      </c>
      <c r="AN186" t="str">
        <f t="shared" si="11"/>
        <v>Manager</v>
      </c>
    </row>
    <row r="187" spans="1:40">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c r="AK187" t="str">
        <f t="shared" si="8"/>
        <v>Non-Technical</v>
      </c>
      <c r="AL187">
        <f t="shared" ca="1" si="9"/>
        <v>4</v>
      </c>
      <c r="AM187" t="str">
        <f t="shared" ca="1" si="10"/>
        <v>2-5 Years</v>
      </c>
      <c r="AN187" t="str">
        <f t="shared" si="11"/>
        <v>Technician</v>
      </c>
    </row>
    <row r="188" spans="1:40">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W188" s="1"/>
      <c r="X188" t="s">
        <v>44</v>
      </c>
      <c r="Y188" t="s">
        <v>45</v>
      </c>
      <c r="Z188" t="s">
        <v>46</v>
      </c>
      <c r="AA188" t="s">
        <v>47</v>
      </c>
      <c r="AB188">
        <v>22</v>
      </c>
      <c r="AC188" t="s">
        <v>117</v>
      </c>
      <c r="AD188" t="s">
        <v>58</v>
      </c>
      <c r="AE188">
        <v>5</v>
      </c>
      <c r="AF188">
        <v>4</v>
      </c>
      <c r="AG188">
        <v>0</v>
      </c>
      <c r="AH188" s="1">
        <v>43486</v>
      </c>
      <c r="AI188">
        <v>0</v>
      </c>
      <c r="AJ188">
        <v>10</v>
      </c>
      <c r="AK188" t="str">
        <f t="shared" si="8"/>
        <v>Non-Technical</v>
      </c>
      <c r="AL188">
        <f t="shared" ca="1" si="9"/>
        <v>11</v>
      </c>
      <c r="AM188" t="str">
        <f t="shared" ca="1" si="10"/>
        <v>10+ Years</v>
      </c>
      <c r="AN188" t="str">
        <f t="shared" si="11"/>
        <v>Technician</v>
      </c>
    </row>
    <row r="189" spans="1:40">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W189" s="1"/>
      <c r="X189" t="s">
        <v>44</v>
      </c>
      <c r="Y189" t="s">
        <v>45</v>
      </c>
      <c r="Z189" t="s">
        <v>46</v>
      </c>
      <c r="AA189" t="s">
        <v>131</v>
      </c>
      <c r="AB189">
        <v>2</v>
      </c>
      <c r="AC189" t="s">
        <v>57</v>
      </c>
      <c r="AD189" t="s">
        <v>58</v>
      </c>
      <c r="AE189">
        <v>4.37</v>
      </c>
      <c r="AF189">
        <v>3</v>
      </c>
      <c r="AG189">
        <v>0</v>
      </c>
      <c r="AH189" s="1">
        <v>43479</v>
      </c>
      <c r="AI189">
        <v>0</v>
      </c>
      <c r="AJ189">
        <v>2</v>
      </c>
      <c r="AK189" t="str">
        <f t="shared" si="8"/>
        <v>Non-Technical</v>
      </c>
      <c r="AL189">
        <f t="shared" ca="1" si="9"/>
        <v>13</v>
      </c>
      <c r="AM189" t="str">
        <f t="shared" ca="1" si="10"/>
        <v>10+ Years</v>
      </c>
      <c r="AN189" t="str">
        <f t="shared" si="11"/>
        <v>Manager</v>
      </c>
    </row>
    <row r="190" spans="1:40">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c r="AK190" t="str">
        <f t="shared" si="8"/>
        <v>Non-Technical</v>
      </c>
      <c r="AL190">
        <f t="shared" ca="1" si="9"/>
        <v>3</v>
      </c>
      <c r="AM190" t="str">
        <f t="shared" ca="1" si="10"/>
        <v>2-5 Years</v>
      </c>
      <c r="AN190" t="str">
        <f t="shared" si="11"/>
        <v>Technician</v>
      </c>
    </row>
    <row r="191" spans="1:40">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W191" s="1"/>
      <c r="X191" t="s">
        <v>44</v>
      </c>
      <c r="Y191" t="s">
        <v>45</v>
      </c>
      <c r="Z191" t="s">
        <v>46</v>
      </c>
      <c r="AA191" t="s">
        <v>91</v>
      </c>
      <c r="AB191">
        <v>14</v>
      </c>
      <c r="AC191" t="s">
        <v>48</v>
      </c>
      <c r="AD191" t="s">
        <v>58</v>
      </c>
      <c r="AE191">
        <v>3.7</v>
      </c>
      <c r="AF191">
        <v>3</v>
      </c>
      <c r="AG191">
        <v>0</v>
      </c>
      <c r="AH191" s="1">
        <v>43473</v>
      </c>
      <c r="AI191">
        <v>0</v>
      </c>
      <c r="AJ191">
        <v>14</v>
      </c>
      <c r="AK191" t="str">
        <f t="shared" si="8"/>
        <v>Non-Technical</v>
      </c>
      <c r="AL191">
        <f t="shared" ca="1" si="9"/>
        <v>14</v>
      </c>
      <c r="AM191" t="str">
        <f t="shared" ca="1" si="10"/>
        <v>10+ Years</v>
      </c>
      <c r="AN191" t="str">
        <f t="shared" si="11"/>
        <v>Technician</v>
      </c>
    </row>
    <row r="192" spans="1:40">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W192" s="1"/>
      <c r="X192" t="s">
        <v>44</v>
      </c>
      <c r="Y192" t="s">
        <v>45</v>
      </c>
      <c r="Z192" t="s">
        <v>55</v>
      </c>
      <c r="AA192" t="s">
        <v>147</v>
      </c>
      <c r="AB192">
        <v>5</v>
      </c>
      <c r="AC192" t="s">
        <v>84</v>
      </c>
      <c r="AD192" t="s">
        <v>118</v>
      </c>
      <c r="AE192">
        <v>2.39</v>
      </c>
      <c r="AF192">
        <v>3</v>
      </c>
      <c r="AG192">
        <v>6</v>
      </c>
      <c r="AH192" s="1">
        <v>43518</v>
      </c>
      <c r="AI192">
        <v>4</v>
      </c>
      <c r="AJ192">
        <v>13</v>
      </c>
      <c r="AK192" t="str">
        <f t="shared" si="8"/>
        <v>Technical</v>
      </c>
      <c r="AL192">
        <f t="shared" ca="1" si="9"/>
        <v>14</v>
      </c>
      <c r="AM192" t="str">
        <f t="shared" ca="1" si="10"/>
        <v>10+ Years</v>
      </c>
      <c r="AN192" t="str">
        <f t="shared" si="11"/>
        <v>Manager</v>
      </c>
    </row>
    <row r="193" spans="1:40">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W193" s="1"/>
      <c r="X193" t="s">
        <v>44</v>
      </c>
      <c r="Y193" t="s">
        <v>45</v>
      </c>
      <c r="Z193" t="s">
        <v>46</v>
      </c>
      <c r="AA193" t="s">
        <v>63</v>
      </c>
      <c r="AB193">
        <v>20</v>
      </c>
      <c r="AC193" t="s">
        <v>57</v>
      </c>
      <c r="AD193" t="s">
        <v>49</v>
      </c>
      <c r="AE193">
        <v>4.7</v>
      </c>
      <c r="AF193">
        <v>3</v>
      </c>
      <c r="AG193">
        <v>0</v>
      </c>
      <c r="AH193" s="1">
        <v>43479</v>
      </c>
      <c r="AI193">
        <v>0</v>
      </c>
      <c r="AJ193">
        <v>1</v>
      </c>
      <c r="AK193" t="str">
        <f t="shared" si="8"/>
        <v>Non-Technical</v>
      </c>
      <c r="AL193">
        <f t="shared" ca="1" si="9"/>
        <v>12</v>
      </c>
      <c r="AM193" t="str">
        <f t="shared" ca="1" si="10"/>
        <v>10+ Years</v>
      </c>
      <c r="AN193" t="str">
        <f t="shared" si="11"/>
        <v>Technician</v>
      </c>
    </row>
    <row r="194" spans="1:40">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W194" s="1"/>
      <c r="X194" t="s">
        <v>44</v>
      </c>
      <c r="Y194" t="s">
        <v>45</v>
      </c>
      <c r="Z194" t="s">
        <v>46</v>
      </c>
      <c r="AA194" t="s">
        <v>99</v>
      </c>
      <c r="AB194">
        <v>18</v>
      </c>
      <c r="AC194" t="s">
        <v>84</v>
      </c>
      <c r="AD194" t="s">
        <v>58</v>
      </c>
      <c r="AE194">
        <v>4.0999999999999996</v>
      </c>
      <c r="AF194">
        <v>4</v>
      </c>
      <c r="AG194">
        <v>0</v>
      </c>
      <c r="AH194" s="1">
        <v>43496</v>
      </c>
      <c r="AI194">
        <v>0</v>
      </c>
      <c r="AJ194">
        <v>12</v>
      </c>
      <c r="AK194" t="str">
        <f t="shared" ref="AK194:AK257" si="12">IF(OR(Z194="IT/IS",Z194="Software Engineering"),"Technical","Non-Technical")</f>
        <v>Non-Technical</v>
      </c>
      <c r="AL194">
        <f t="shared" ref="AL194:AL257" ca="1" si="13">IF(W194="",DATEDIF(V194,TODAY(),"Y"),DATEDIF(V194,W194,"Y"))</f>
        <v>14</v>
      </c>
      <c r="AM194" t="str">
        <f t="shared" ref="AM194:AM257" ca="1" si="14">IF(AL194&lt;2,"0-2 Years",
IF(AL194&lt;5,"2-5 Years",
IF(AL194&lt;10,"5-10 Years","10+ Years")))</f>
        <v>10+ Years</v>
      </c>
      <c r="AN194" t="str">
        <f t="shared" ref="AN194:AN257" si="15">IF(ISNUMBER(SEARCH("Manager",M194)),"Manager",
IF(ISNUMBER(SEARCH("Technician",M194)),"Technician","Other"))</f>
        <v>Technician</v>
      </c>
    </row>
    <row r="195" spans="1:40">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W195" s="1"/>
      <c r="X195" t="s">
        <v>44</v>
      </c>
      <c r="Y195" t="s">
        <v>45</v>
      </c>
      <c r="Z195" t="s">
        <v>55</v>
      </c>
      <c r="AA195" t="s">
        <v>87</v>
      </c>
      <c r="AB195">
        <v>7</v>
      </c>
      <c r="AC195" t="s">
        <v>117</v>
      </c>
      <c r="AD195" t="s">
        <v>58</v>
      </c>
      <c r="AE195">
        <v>3.81</v>
      </c>
      <c r="AF195">
        <v>3</v>
      </c>
      <c r="AG195">
        <v>6</v>
      </c>
      <c r="AH195" s="1">
        <v>43507</v>
      </c>
      <c r="AI195">
        <v>0</v>
      </c>
      <c r="AJ195">
        <v>6</v>
      </c>
      <c r="AK195" t="str">
        <f t="shared" si="12"/>
        <v>Technical</v>
      </c>
      <c r="AL195">
        <f t="shared" ca="1" si="13"/>
        <v>11</v>
      </c>
      <c r="AM195" t="str">
        <f t="shared" ca="1" si="14"/>
        <v>10+ Years</v>
      </c>
      <c r="AN195" t="str">
        <f t="shared" si="15"/>
        <v>Other</v>
      </c>
    </row>
    <row r="196" spans="1:40">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W196" s="1"/>
      <c r="X196" t="s">
        <v>44</v>
      </c>
      <c r="Y196" t="s">
        <v>45</v>
      </c>
      <c r="Z196" t="s">
        <v>46</v>
      </c>
      <c r="AA196" t="s">
        <v>65</v>
      </c>
      <c r="AB196">
        <v>16</v>
      </c>
      <c r="AC196" t="s">
        <v>48</v>
      </c>
      <c r="AD196" t="s">
        <v>58</v>
      </c>
      <c r="AE196">
        <v>4.4000000000000004</v>
      </c>
      <c r="AF196">
        <v>4</v>
      </c>
      <c r="AG196">
        <v>0</v>
      </c>
      <c r="AH196" s="1">
        <v>43482</v>
      </c>
      <c r="AI196">
        <v>0</v>
      </c>
      <c r="AJ196">
        <v>18</v>
      </c>
      <c r="AK196" t="str">
        <f t="shared" si="12"/>
        <v>Non-Technical</v>
      </c>
      <c r="AL196">
        <f t="shared" ca="1" si="13"/>
        <v>13</v>
      </c>
      <c r="AM196" t="str">
        <f t="shared" ca="1" si="14"/>
        <v>10+ Years</v>
      </c>
      <c r="AN196" t="str">
        <f t="shared" si="15"/>
        <v>Technician</v>
      </c>
    </row>
    <row r="197" spans="1:40">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W197" s="1"/>
      <c r="X197" t="s">
        <v>44</v>
      </c>
      <c r="Y197" t="s">
        <v>45</v>
      </c>
      <c r="Z197" t="s">
        <v>46</v>
      </c>
      <c r="AA197" t="s">
        <v>47</v>
      </c>
      <c r="AB197">
        <v>22</v>
      </c>
      <c r="AC197" t="s">
        <v>48</v>
      </c>
      <c r="AD197" t="s">
        <v>58</v>
      </c>
      <c r="AE197">
        <v>4.29</v>
      </c>
      <c r="AF197">
        <v>5</v>
      </c>
      <c r="AG197">
        <v>0</v>
      </c>
      <c r="AH197" s="1">
        <v>43493</v>
      </c>
      <c r="AI197">
        <v>0</v>
      </c>
      <c r="AJ197">
        <v>11</v>
      </c>
      <c r="AK197" t="str">
        <f t="shared" si="12"/>
        <v>Non-Technical</v>
      </c>
      <c r="AL197">
        <f t="shared" ca="1" si="13"/>
        <v>12</v>
      </c>
      <c r="AM197" t="str">
        <f t="shared" ca="1" si="14"/>
        <v>10+ Years</v>
      </c>
      <c r="AN197" t="str">
        <f t="shared" si="15"/>
        <v>Technician</v>
      </c>
    </row>
    <row r="198" spans="1:40">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W198" s="1"/>
      <c r="X198" t="s">
        <v>44</v>
      </c>
      <c r="Y198" t="s">
        <v>45</v>
      </c>
      <c r="Z198" t="s">
        <v>46</v>
      </c>
      <c r="AA198" t="s">
        <v>63</v>
      </c>
      <c r="AB198">
        <v>20</v>
      </c>
      <c r="AC198" t="s">
        <v>48</v>
      </c>
      <c r="AD198" t="s">
        <v>58</v>
      </c>
      <c r="AE198">
        <v>4.0999999999999996</v>
      </c>
      <c r="AF198">
        <v>4</v>
      </c>
      <c r="AG198">
        <v>0</v>
      </c>
      <c r="AH198" s="1">
        <v>43487</v>
      </c>
      <c r="AI198">
        <v>0</v>
      </c>
      <c r="AJ198">
        <v>13</v>
      </c>
      <c r="AK198" t="str">
        <f t="shared" si="12"/>
        <v>Non-Technical</v>
      </c>
      <c r="AL198">
        <f t="shared" ca="1" si="13"/>
        <v>12</v>
      </c>
      <c r="AM198" t="str">
        <f t="shared" ca="1" si="14"/>
        <v>10+ Years</v>
      </c>
      <c r="AN198" t="str">
        <f t="shared" si="15"/>
        <v>Technician</v>
      </c>
    </row>
    <row r="199" spans="1:40">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W199" s="1"/>
      <c r="X199" t="s">
        <v>44</v>
      </c>
      <c r="Y199" t="s">
        <v>45</v>
      </c>
      <c r="Z199" t="s">
        <v>55</v>
      </c>
      <c r="AA199" t="s">
        <v>197</v>
      </c>
      <c r="AB199">
        <v>13</v>
      </c>
      <c r="AC199" t="s">
        <v>57</v>
      </c>
      <c r="AD199" t="s">
        <v>58</v>
      </c>
      <c r="AE199">
        <v>5</v>
      </c>
      <c r="AF199">
        <v>3</v>
      </c>
      <c r="AG199">
        <v>6</v>
      </c>
      <c r="AH199" s="1">
        <v>43521</v>
      </c>
      <c r="AI199">
        <v>0</v>
      </c>
      <c r="AJ199">
        <v>17</v>
      </c>
      <c r="AK199" t="str">
        <f t="shared" si="12"/>
        <v>Technical</v>
      </c>
      <c r="AL199">
        <f t="shared" ca="1" si="13"/>
        <v>9</v>
      </c>
      <c r="AM199" t="str">
        <f t="shared" ca="1" si="14"/>
        <v>5-10 Years</v>
      </c>
      <c r="AN199" t="str">
        <f t="shared" si="15"/>
        <v>Other</v>
      </c>
    </row>
    <row r="200" spans="1:40">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c r="AK200" t="str">
        <f t="shared" si="12"/>
        <v>Non-Technical</v>
      </c>
      <c r="AL200">
        <f t="shared" ca="1" si="13"/>
        <v>2</v>
      </c>
      <c r="AM200" t="str">
        <f t="shared" ca="1" si="14"/>
        <v>2-5 Years</v>
      </c>
      <c r="AN200" t="str">
        <f t="shared" si="15"/>
        <v>Technician</v>
      </c>
    </row>
    <row r="201" spans="1:40">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c r="AK201" t="str">
        <f t="shared" si="12"/>
        <v>Non-Technical</v>
      </c>
      <c r="AL201">
        <f t="shared" ca="1" si="13"/>
        <v>3</v>
      </c>
      <c r="AM201" t="str">
        <f t="shared" ca="1" si="14"/>
        <v>2-5 Years</v>
      </c>
      <c r="AN201" t="str">
        <f t="shared" si="15"/>
        <v>Technician</v>
      </c>
    </row>
    <row r="202" spans="1:40">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W202" s="1"/>
      <c r="X202" t="s">
        <v>44</v>
      </c>
      <c r="Y202" t="s">
        <v>45</v>
      </c>
      <c r="Z202" t="s">
        <v>46</v>
      </c>
      <c r="AA202" t="s">
        <v>79</v>
      </c>
      <c r="AB202">
        <v>19</v>
      </c>
      <c r="AC202" t="s">
        <v>48</v>
      </c>
      <c r="AD202" t="s">
        <v>58</v>
      </c>
      <c r="AE202">
        <v>5</v>
      </c>
      <c r="AF202">
        <v>5</v>
      </c>
      <c r="AG202">
        <v>0</v>
      </c>
      <c r="AH202" s="1">
        <v>43514</v>
      </c>
      <c r="AI202">
        <v>0</v>
      </c>
      <c r="AJ202">
        <v>11</v>
      </c>
      <c r="AK202" t="str">
        <f t="shared" si="12"/>
        <v>Non-Technical</v>
      </c>
      <c r="AL202">
        <f t="shared" ca="1" si="13"/>
        <v>11</v>
      </c>
      <c r="AM202" t="str">
        <f t="shared" ca="1" si="14"/>
        <v>10+ Years</v>
      </c>
      <c r="AN202" t="str">
        <f t="shared" si="15"/>
        <v>Technician</v>
      </c>
    </row>
    <row r="203" spans="1:40">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W203" s="1"/>
      <c r="X203" t="s">
        <v>44</v>
      </c>
      <c r="Y203" t="s">
        <v>45</v>
      </c>
      <c r="Z203" t="s">
        <v>46</v>
      </c>
      <c r="AA203" t="s">
        <v>83</v>
      </c>
      <c r="AB203">
        <v>12</v>
      </c>
      <c r="AC203" t="s">
        <v>84</v>
      </c>
      <c r="AD203" t="s">
        <v>49</v>
      </c>
      <c r="AE203">
        <v>4</v>
      </c>
      <c r="AF203">
        <v>3</v>
      </c>
      <c r="AG203">
        <v>0</v>
      </c>
      <c r="AH203" s="1">
        <v>43509</v>
      </c>
      <c r="AI203">
        <v>0</v>
      </c>
      <c r="AJ203">
        <v>12</v>
      </c>
      <c r="AK203" t="str">
        <f t="shared" si="12"/>
        <v>Non-Technical</v>
      </c>
      <c r="AL203">
        <f t="shared" ca="1" si="13"/>
        <v>13</v>
      </c>
      <c r="AM203" t="str">
        <f t="shared" ca="1" si="14"/>
        <v>10+ Years</v>
      </c>
      <c r="AN203" t="str">
        <f t="shared" si="15"/>
        <v>Technician</v>
      </c>
    </row>
    <row r="204" spans="1:40">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W204" s="1"/>
      <c r="X204" t="s">
        <v>44</v>
      </c>
      <c r="Y204" t="s">
        <v>45</v>
      </c>
      <c r="Z204" t="s">
        <v>141</v>
      </c>
      <c r="AA204" t="s">
        <v>160</v>
      </c>
      <c r="AB204">
        <v>21</v>
      </c>
      <c r="AC204" t="s">
        <v>57</v>
      </c>
      <c r="AD204" t="s">
        <v>58</v>
      </c>
      <c r="AE204">
        <v>5</v>
      </c>
      <c r="AF204">
        <v>5</v>
      </c>
      <c r="AG204">
        <v>0</v>
      </c>
      <c r="AH204" s="1">
        <v>43490</v>
      </c>
      <c r="AI204">
        <v>0</v>
      </c>
      <c r="AJ204">
        <v>2</v>
      </c>
      <c r="AK204" t="str">
        <f t="shared" si="12"/>
        <v>Non-Technical</v>
      </c>
      <c r="AL204">
        <f t="shared" ca="1" si="13"/>
        <v>12</v>
      </c>
      <c r="AM204" t="str">
        <f t="shared" ca="1" si="14"/>
        <v>10+ Years</v>
      </c>
      <c r="AN204" t="str">
        <f t="shared" si="15"/>
        <v>Manager</v>
      </c>
    </row>
    <row r="205" spans="1:40">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W205" s="1"/>
      <c r="X205" t="s">
        <v>44</v>
      </c>
      <c r="Y205" t="s">
        <v>45</v>
      </c>
      <c r="Z205" t="s">
        <v>46</v>
      </c>
      <c r="AA205" t="s">
        <v>91</v>
      </c>
      <c r="AB205">
        <v>14</v>
      </c>
      <c r="AC205" t="s">
        <v>48</v>
      </c>
      <c r="AD205" t="s">
        <v>58</v>
      </c>
      <c r="AE205">
        <v>3.6</v>
      </c>
      <c r="AF205">
        <v>5</v>
      </c>
      <c r="AG205">
        <v>0</v>
      </c>
      <c r="AH205" s="1">
        <v>43467</v>
      </c>
      <c r="AI205">
        <v>0</v>
      </c>
      <c r="AJ205">
        <v>4</v>
      </c>
      <c r="AK205" t="str">
        <f t="shared" si="12"/>
        <v>Non-Technical</v>
      </c>
      <c r="AL205">
        <f t="shared" ca="1" si="13"/>
        <v>12</v>
      </c>
      <c r="AM205" t="str">
        <f t="shared" ca="1" si="14"/>
        <v>10+ Years</v>
      </c>
      <c r="AN205" t="str">
        <f t="shared" si="15"/>
        <v>Technician</v>
      </c>
    </row>
    <row r="206" spans="1:40">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W206" s="1"/>
      <c r="X206" t="s">
        <v>44</v>
      </c>
      <c r="Y206" t="s">
        <v>45</v>
      </c>
      <c r="Z206" t="s">
        <v>46</v>
      </c>
      <c r="AA206" t="s">
        <v>65</v>
      </c>
      <c r="AB206">
        <v>16</v>
      </c>
      <c r="AC206" t="s">
        <v>57</v>
      </c>
      <c r="AD206" t="s">
        <v>58</v>
      </c>
      <c r="AE206">
        <v>4.53</v>
      </c>
      <c r="AF206">
        <v>5</v>
      </c>
      <c r="AG206">
        <v>0</v>
      </c>
      <c r="AH206" s="1">
        <v>43481</v>
      </c>
      <c r="AI206">
        <v>0</v>
      </c>
      <c r="AJ206">
        <v>5</v>
      </c>
      <c r="AK206" t="str">
        <f t="shared" si="12"/>
        <v>Non-Technical</v>
      </c>
      <c r="AL206">
        <f t="shared" ca="1" si="13"/>
        <v>11</v>
      </c>
      <c r="AM206" t="str">
        <f t="shared" ca="1" si="14"/>
        <v>10+ Years</v>
      </c>
      <c r="AN206" t="str">
        <f t="shared" si="15"/>
        <v>Technician</v>
      </c>
    </row>
    <row r="207" spans="1:40">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c r="AK207" t="str">
        <f t="shared" si="12"/>
        <v>Non-Technical</v>
      </c>
      <c r="AL207">
        <f t="shared" ca="1" si="13"/>
        <v>4</v>
      </c>
      <c r="AM207" t="str">
        <f t="shared" ca="1" si="14"/>
        <v>2-5 Years</v>
      </c>
      <c r="AN207" t="str">
        <f t="shared" si="15"/>
        <v>Technician</v>
      </c>
    </row>
    <row r="208" spans="1:40">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c r="AK208" t="str">
        <f t="shared" si="12"/>
        <v>Non-Technical</v>
      </c>
      <c r="AL208">
        <f t="shared" ca="1" si="13"/>
        <v>1</v>
      </c>
      <c r="AM208" t="str">
        <f t="shared" ca="1" si="14"/>
        <v>0-2 Years</v>
      </c>
      <c r="AN208" t="str">
        <f t="shared" si="15"/>
        <v>Technician</v>
      </c>
    </row>
    <row r="209" spans="1:40">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W209" s="1"/>
      <c r="X209" t="s">
        <v>44</v>
      </c>
      <c r="Y209" t="s">
        <v>45</v>
      </c>
      <c r="Z209" t="s">
        <v>141</v>
      </c>
      <c r="AA209" t="s">
        <v>160</v>
      </c>
      <c r="AB209">
        <v>21</v>
      </c>
      <c r="AC209" t="s">
        <v>57</v>
      </c>
      <c r="AD209" t="s">
        <v>58</v>
      </c>
      <c r="AE209">
        <v>4.28</v>
      </c>
      <c r="AF209">
        <v>3</v>
      </c>
      <c r="AG209">
        <v>0</v>
      </c>
      <c r="AH209" s="1">
        <v>43490</v>
      </c>
      <c r="AI209">
        <v>0</v>
      </c>
      <c r="AJ209">
        <v>1</v>
      </c>
      <c r="AK209" t="str">
        <f t="shared" si="12"/>
        <v>Non-Technical</v>
      </c>
      <c r="AL209">
        <f t="shared" ca="1" si="13"/>
        <v>12</v>
      </c>
      <c r="AM209" t="str">
        <f t="shared" ca="1" si="14"/>
        <v>10+ Years</v>
      </c>
      <c r="AN209" t="str">
        <f t="shared" si="15"/>
        <v>Manager</v>
      </c>
    </row>
    <row r="210" spans="1:40">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W210" s="1"/>
      <c r="X210" t="s">
        <v>44</v>
      </c>
      <c r="Y210" t="s">
        <v>45</v>
      </c>
      <c r="Z210" t="s">
        <v>46</v>
      </c>
      <c r="AA210" t="s">
        <v>99</v>
      </c>
      <c r="AB210">
        <v>18</v>
      </c>
      <c r="AC210" t="s">
        <v>48</v>
      </c>
      <c r="AD210" t="s">
        <v>49</v>
      </c>
      <c r="AE210">
        <v>5</v>
      </c>
      <c r="AF210">
        <v>3</v>
      </c>
      <c r="AG210">
        <v>0</v>
      </c>
      <c r="AH210" s="1">
        <v>43503</v>
      </c>
      <c r="AI210">
        <v>0</v>
      </c>
      <c r="AJ210">
        <v>13</v>
      </c>
      <c r="AK210" t="str">
        <f t="shared" si="12"/>
        <v>Non-Technical</v>
      </c>
      <c r="AL210">
        <f t="shared" ca="1" si="13"/>
        <v>12</v>
      </c>
      <c r="AM210" t="str">
        <f t="shared" ca="1" si="14"/>
        <v>10+ Years</v>
      </c>
      <c r="AN210" t="str">
        <f t="shared" si="15"/>
        <v>Technician</v>
      </c>
    </row>
    <row r="211" spans="1:40">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W211" s="1"/>
      <c r="X211" t="s">
        <v>44</v>
      </c>
      <c r="Y211" t="s">
        <v>45</v>
      </c>
      <c r="Z211" t="s">
        <v>46</v>
      </c>
      <c r="AA211" t="s">
        <v>47</v>
      </c>
      <c r="AB211">
        <v>22</v>
      </c>
      <c r="AC211" t="s">
        <v>48</v>
      </c>
      <c r="AD211" t="s">
        <v>118</v>
      </c>
      <c r="AE211">
        <v>4.25</v>
      </c>
      <c r="AF211">
        <v>3</v>
      </c>
      <c r="AG211">
        <v>0</v>
      </c>
      <c r="AH211" s="1">
        <v>43500</v>
      </c>
      <c r="AI211">
        <v>4</v>
      </c>
      <c r="AJ211">
        <v>6</v>
      </c>
      <c r="AK211" t="str">
        <f t="shared" si="12"/>
        <v>Non-Technical</v>
      </c>
      <c r="AL211">
        <f t="shared" ca="1" si="13"/>
        <v>12</v>
      </c>
      <c r="AM211" t="str">
        <f t="shared" ca="1" si="14"/>
        <v>10+ Years</v>
      </c>
      <c r="AN211" t="str">
        <f t="shared" si="15"/>
        <v>Technician</v>
      </c>
    </row>
    <row r="212" spans="1:40">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W212" s="1"/>
      <c r="X212" t="s">
        <v>44</v>
      </c>
      <c r="Y212" t="s">
        <v>45</v>
      </c>
      <c r="Z212" t="s">
        <v>141</v>
      </c>
      <c r="AA212" t="s">
        <v>142</v>
      </c>
      <c r="AB212">
        <v>17</v>
      </c>
      <c r="AC212" t="s">
        <v>201</v>
      </c>
      <c r="AD212" t="s">
        <v>58</v>
      </c>
      <c r="AE212">
        <v>5</v>
      </c>
      <c r="AF212">
        <v>5</v>
      </c>
      <c r="AG212">
        <v>0</v>
      </c>
      <c r="AH212" s="1">
        <v>43479</v>
      </c>
      <c r="AI212">
        <v>0</v>
      </c>
      <c r="AJ212">
        <v>18</v>
      </c>
      <c r="AK212" t="str">
        <f t="shared" si="12"/>
        <v>Non-Technical</v>
      </c>
      <c r="AL212">
        <f t="shared" ca="1" si="13"/>
        <v>11</v>
      </c>
      <c r="AM212" t="str">
        <f t="shared" ca="1" si="14"/>
        <v>10+ Years</v>
      </c>
      <c r="AN212" t="str">
        <f t="shared" si="15"/>
        <v>Manager</v>
      </c>
    </row>
    <row r="213" spans="1:40">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c r="AK213" t="str">
        <f t="shared" si="12"/>
        <v>Non-Technical</v>
      </c>
      <c r="AL213">
        <f t="shared" ca="1" si="13"/>
        <v>2</v>
      </c>
      <c r="AM213" t="str">
        <f t="shared" ca="1" si="14"/>
        <v>2-5 Years</v>
      </c>
      <c r="AN213" t="str">
        <f t="shared" si="15"/>
        <v>Technician</v>
      </c>
    </row>
    <row r="214" spans="1:40">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c r="AK214" t="str">
        <f t="shared" si="12"/>
        <v>Technical</v>
      </c>
      <c r="AL214">
        <f t="shared" ca="1" si="13"/>
        <v>3</v>
      </c>
      <c r="AM214" t="str">
        <f t="shared" ca="1" si="14"/>
        <v>2-5 Years</v>
      </c>
      <c r="AN214" t="str">
        <f t="shared" si="15"/>
        <v>Other</v>
      </c>
    </row>
    <row r="215" spans="1:40">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c r="AK215" t="str">
        <f t="shared" si="12"/>
        <v>Technical</v>
      </c>
      <c r="AL215">
        <f t="shared" ca="1" si="13"/>
        <v>1</v>
      </c>
      <c r="AM215" t="str">
        <f t="shared" ca="1" si="14"/>
        <v>0-2 Years</v>
      </c>
      <c r="AN215" t="str">
        <f t="shared" si="15"/>
        <v>Other</v>
      </c>
    </row>
    <row r="216" spans="1:40">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c r="AK216" t="str">
        <f t="shared" si="12"/>
        <v>Non-Technical</v>
      </c>
      <c r="AL216">
        <f t="shared" ca="1" si="13"/>
        <v>6</v>
      </c>
      <c r="AM216" t="str">
        <f t="shared" ca="1" si="14"/>
        <v>5-10 Years</v>
      </c>
      <c r="AN216" t="str">
        <f t="shared" si="15"/>
        <v>Technician</v>
      </c>
    </row>
    <row r="217" spans="1:40">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c r="AK217" t="str">
        <f t="shared" si="12"/>
        <v>Non-Technical</v>
      </c>
      <c r="AL217">
        <f t="shared" ca="1" si="13"/>
        <v>4</v>
      </c>
      <c r="AM217" t="str">
        <f t="shared" ca="1" si="14"/>
        <v>2-5 Years</v>
      </c>
      <c r="AN217" t="str">
        <f t="shared" si="15"/>
        <v>Technician</v>
      </c>
    </row>
    <row r="218" spans="1:40">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c r="AK218" t="str">
        <f t="shared" si="12"/>
        <v>Non-Technical</v>
      </c>
      <c r="AL218">
        <f t="shared" ca="1" si="13"/>
        <v>4</v>
      </c>
      <c r="AM218" t="str">
        <f t="shared" ca="1" si="14"/>
        <v>2-5 Years</v>
      </c>
      <c r="AN218" t="str">
        <f t="shared" si="15"/>
        <v>Technician</v>
      </c>
    </row>
    <row r="219" spans="1:40">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c r="AK219" t="str">
        <f t="shared" si="12"/>
        <v>Non-Technical</v>
      </c>
      <c r="AL219">
        <f t="shared" ca="1" si="13"/>
        <v>1</v>
      </c>
      <c r="AM219" t="str">
        <f t="shared" ca="1" si="14"/>
        <v>0-2 Years</v>
      </c>
      <c r="AN219" t="str">
        <f t="shared" si="15"/>
        <v>Technician</v>
      </c>
    </row>
    <row r="220" spans="1:40">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c r="AK220" t="str">
        <f t="shared" si="12"/>
        <v>Non-Technical</v>
      </c>
      <c r="AL220">
        <f t="shared" ca="1" si="13"/>
        <v>5</v>
      </c>
      <c r="AM220" t="str">
        <f t="shared" ca="1" si="14"/>
        <v>5-10 Years</v>
      </c>
      <c r="AN220" t="str">
        <f t="shared" si="15"/>
        <v>Manager</v>
      </c>
    </row>
    <row r="221" spans="1:40">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W221" s="1"/>
      <c r="X221" t="s">
        <v>44</v>
      </c>
      <c r="Y221" t="s">
        <v>45</v>
      </c>
      <c r="Z221" t="s">
        <v>46</v>
      </c>
      <c r="AA221" t="s">
        <v>83</v>
      </c>
      <c r="AB221">
        <v>12</v>
      </c>
      <c r="AC221" t="s">
        <v>48</v>
      </c>
      <c r="AD221" t="s">
        <v>58</v>
      </c>
      <c r="AE221">
        <v>4.3</v>
      </c>
      <c r="AF221">
        <v>3</v>
      </c>
      <c r="AG221">
        <v>0</v>
      </c>
      <c r="AH221" s="1">
        <v>43479</v>
      </c>
      <c r="AI221">
        <v>0</v>
      </c>
      <c r="AJ221">
        <v>14</v>
      </c>
      <c r="AK221" t="str">
        <f t="shared" si="12"/>
        <v>Non-Technical</v>
      </c>
      <c r="AL221">
        <f t="shared" ca="1" si="13"/>
        <v>14</v>
      </c>
      <c r="AM221" t="str">
        <f t="shared" ca="1" si="14"/>
        <v>10+ Years</v>
      </c>
      <c r="AN221" t="str">
        <f t="shared" si="15"/>
        <v>Technician</v>
      </c>
    </row>
    <row r="222" spans="1:40">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W222" s="1"/>
      <c r="X222" t="s">
        <v>44</v>
      </c>
      <c r="Y222" t="s">
        <v>45</v>
      </c>
      <c r="Z222" t="s">
        <v>55</v>
      </c>
      <c r="AA222" t="s">
        <v>56</v>
      </c>
      <c r="AB222">
        <v>4</v>
      </c>
      <c r="AC222" t="s">
        <v>80</v>
      </c>
      <c r="AD222" t="s">
        <v>49</v>
      </c>
      <c r="AE222">
        <v>4.5999999999999996</v>
      </c>
      <c r="AF222">
        <v>5</v>
      </c>
      <c r="AG222">
        <v>7</v>
      </c>
      <c r="AH222" s="1">
        <v>43469</v>
      </c>
      <c r="AI222">
        <v>0</v>
      </c>
      <c r="AJ222">
        <v>16</v>
      </c>
      <c r="AK222" t="str">
        <f t="shared" si="12"/>
        <v>Technical</v>
      </c>
      <c r="AL222">
        <f t="shared" ca="1" si="13"/>
        <v>11</v>
      </c>
      <c r="AM222" t="str">
        <f t="shared" ca="1" si="14"/>
        <v>10+ Years</v>
      </c>
      <c r="AN222" t="str">
        <f t="shared" si="15"/>
        <v>Other</v>
      </c>
    </row>
    <row r="223" spans="1:40">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c r="AK223" t="str">
        <f t="shared" si="12"/>
        <v>Non-Technical</v>
      </c>
      <c r="AL223">
        <f t="shared" ca="1" si="13"/>
        <v>1</v>
      </c>
      <c r="AM223" t="str">
        <f t="shared" ca="1" si="14"/>
        <v>0-2 Years</v>
      </c>
      <c r="AN223" t="str">
        <f t="shared" si="15"/>
        <v>Technician</v>
      </c>
    </row>
    <row r="224" spans="1:40">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W224" s="1"/>
      <c r="X224" t="s">
        <v>44</v>
      </c>
      <c r="Y224" t="s">
        <v>45</v>
      </c>
      <c r="Z224" t="s">
        <v>46</v>
      </c>
      <c r="AA224" t="s">
        <v>91</v>
      </c>
      <c r="AB224">
        <v>14</v>
      </c>
      <c r="AC224" t="s">
        <v>70</v>
      </c>
      <c r="AD224" t="s">
        <v>58</v>
      </c>
      <c r="AE224">
        <v>3.66</v>
      </c>
      <c r="AF224">
        <v>3</v>
      </c>
      <c r="AG224">
        <v>0</v>
      </c>
      <c r="AH224" s="1">
        <v>43521</v>
      </c>
      <c r="AI224">
        <v>0</v>
      </c>
      <c r="AJ224">
        <v>15</v>
      </c>
      <c r="AK224" t="str">
        <f t="shared" si="12"/>
        <v>Non-Technical</v>
      </c>
      <c r="AL224">
        <f t="shared" ca="1" si="13"/>
        <v>18</v>
      </c>
      <c r="AM224" t="str">
        <f t="shared" ca="1" si="14"/>
        <v>10+ Years</v>
      </c>
      <c r="AN224" t="str">
        <f t="shared" si="15"/>
        <v>Technician</v>
      </c>
    </row>
    <row r="225" spans="1:40">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W225" s="1"/>
      <c r="X225" t="s">
        <v>44</v>
      </c>
      <c r="Y225" t="s">
        <v>45</v>
      </c>
      <c r="Z225" t="s">
        <v>141</v>
      </c>
      <c r="AA225" t="s">
        <v>160</v>
      </c>
      <c r="AB225">
        <v>21</v>
      </c>
      <c r="AC225" t="s">
        <v>201</v>
      </c>
      <c r="AD225" t="s">
        <v>58</v>
      </c>
      <c r="AE225">
        <v>4.2</v>
      </c>
      <c r="AF225">
        <v>5</v>
      </c>
      <c r="AG225">
        <v>0</v>
      </c>
      <c r="AH225" s="1">
        <v>43497</v>
      </c>
      <c r="AI225">
        <v>0</v>
      </c>
      <c r="AJ225">
        <v>9</v>
      </c>
      <c r="AK225" t="str">
        <f t="shared" si="12"/>
        <v>Non-Technical</v>
      </c>
      <c r="AL225">
        <f t="shared" ca="1" si="13"/>
        <v>14</v>
      </c>
      <c r="AM225" t="str">
        <f t="shared" ca="1" si="14"/>
        <v>10+ Years</v>
      </c>
      <c r="AN225" t="str">
        <f t="shared" si="15"/>
        <v>Manager</v>
      </c>
    </row>
    <row r="226" spans="1:40">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c r="AK226" t="str">
        <f t="shared" si="12"/>
        <v>Non-Technical</v>
      </c>
      <c r="AL226">
        <f t="shared" ca="1" si="13"/>
        <v>7</v>
      </c>
      <c r="AM226" t="str">
        <f t="shared" ca="1" si="14"/>
        <v>5-10 Years</v>
      </c>
      <c r="AN226" t="str">
        <f t="shared" si="15"/>
        <v>Technician</v>
      </c>
    </row>
    <row r="227" spans="1:40">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W227" s="1"/>
      <c r="X227" t="s">
        <v>44</v>
      </c>
      <c r="Y227" t="s">
        <v>45</v>
      </c>
      <c r="Z227" t="s">
        <v>46</v>
      </c>
      <c r="AA227" t="s">
        <v>99</v>
      </c>
      <c r="AB227">
        <v>18</v>
      </c>
      <c r="AC227" t="s">
        <v>80</v>
      </c>
      <c r="AD227" t="s">
        <v>58</v>
      </c>
      <c r="AE227">
        <v>4.8</v>
      </c>
      <c r="AF227">
        <v>3</v>
      </c>
      <c r="AG227">
        <v>0</v>
      </c>
      <c r="AH227" s="1">
        <v>43472</v>
      </c>
      <c r="AI227">
        <v>0</v>
      </c>
      <c r="AJ227">
        <v>14</v>
      </c>
      <c r="AK227" t="str">
        <f t="shared" si="12"/>
        <v>Non-Technical</v>
      </c>
      <c r="AL227">
        <f t="shared" ca="1" si="13"/>
        <v>12</v>
      </c>
      <c r="AM227" t="str">
        <f t="shared" ca="1" si="14"/>
        <v>10+ Years</v>
      </c>
      <c r="AN227" t="str">
        <f t="shared" si="15"/>
        <v>Technician</v>
      </c>
    </row>
    <row r="228" spans="1:40">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c r="AK228" t="str">
        <f t="shared" si="12"/>
        <v>Non-Technical</v>
      </c>
      <c r="AL228">
        <f t="shared" ca="1" si="13"/>
        <v>0</v>
      </c>
      <c r="AM228" t="str">
        <f t="shared" ca="1" si="14"/>
        <v>0-2 Years</v>
      </c>
      <c r="AN228" t="str">
        <f t="shared" si="15"/>
        <v>Technician</v>
      </c>
    </row>
    <row r="229" spans="1:40">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c r="AK229" t="str">
        <f t="shared" si="12"/>
        <v>Technical</v>
      </c>
      <c r="AL229">
        <f t="shared" ca="1" si="13"/>
        <v>4</v>
      </c>
      <c r="AM229" t="str">
        <f t="shared" ca="1" si="14"/>
        <v>2-5 Years</v>
      </c>
      <c r="AN229" t="str">
        <f t="shared" si="15"/>
        <v>Other</v>
      </c>
    </row>
    <row r="230" spans="1:40">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W230" s="1"/>
      <c r="X230" t="s">
        <v>44</v>
      </c>
      <c r="Y230" t="s">
        <v>45</v>
      </c>
      <c r="Z230" t="s">
        <v>55</v>
      </c>
      <c r="AA230" t="s">
        <v>197</v>
      </c>
      <c r="AB230">
        <v>13</v>
      </c>
      <c r="AC230" t="s">
        <v>57</v>
      </c>
      <c r="AD230" t="s">
        <v>58</v>
      </c>
      <c r="AE230">
        <v>4.4000000000000004</v>
      </c>
      <c r="AF230">
        <v>4</v>
      </c>
      <c r="AG230">
        <v>6</v>
      </c>
      <c r="AH230" s="1">
        <v>43502</v>
      </c>
      <c r="AI230">
        <v>0</v>
      </c>
      <c r="AJ230">
        <v>10</v>
      </c>
      <c r="AK230" t="str">
        <f t="shared" si="12"/>
        <v>Technical</v>
      </c>
      <c r="AL230">
        <f t="shared" ca="1" si="13"/>
        <v>9</v>
      </c>
      <c r="AM230" t="str">
        <f t="shared" ca="1" si="14"/>
        <v>5-10 Years</v>
      </c>
      <c r="AN230" t="str">
        <f t="shared" si="15"/>
        <v>Other</v>
      </c>
    </row>
    <row r="231" spans="1:40">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c r="AK231" t="str">
        <f t="shared" si="12"/>
        <v>Non-Technical</v>
      </c>
      <c r="AL231">
        <f t="shared" ca="1" si="13"/>
        <v>6</v>
      </c>
      <c r="AM231" t="str">
        <f t="shared" ca="1" si="14"/>
        <v>5-10 Years</v>
      </c>
      <c r="AN231" t="str">
        <f t="shared" si="15"/>
        <v>Technician</v>
      </c>
    </row>
    <row r="232" spans="1:40">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W232" s="1"/>
      <c r="X232" t="s">
        <v>44</v>
      </c>
      <c r="Y232" t="s">
        <v>45</v>
      </c>
      <c r="Z232" t="s">
        <v>141</v>
      </c>
      <c r="AA232" t="s">
        <v>142</v>
      </c>
      <c r="AB232">
        <v>17</v>
      </c>
      <c r="AC232" t="s">
        <v>117</v>
      </c>
      <c r="AD232" t="s">
        <v>58</v>
      </c>
      <c r="AE232">
        <v>3.98</v>
      </c>
      <c r="AF232">
        <v>3</v>
      </c>
      <c r="AG232">
        <v>0</v>
      </c>
      <c r="AH232" s="1">
        <v>43493</v>
      </c>
      <c r="AI232">
        <v>0</v>
      </c>
      <c r="AJ232">
        <v>4</v>
      </c>
      <c r="AK232" t="str">
        <f t="shared" si="12"/>
        <v>Non-Technical</v>
      </c>
      <c r="AL232">
        <f t="shared" ca="1" si="13"/>
        <v>11</v>
      </c>
      <c r="AM232" t="str">
        <f t="shared" ca="1" si="14"/>
        <v>10+ Years</v>
      </c>
      <c r="AN232" t="str">
        <f t="shared" si="15"/>
        <v>Manager</v>
      </c>
    </row>
    <row r="233" spans="1:40">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c r="AK233" t="str">
        <f t="shared" si="12"/>
        <v>Non-Technical</v>
      </c>
      <c r="AL233">
        <f t="shared" ca="1" si="13"/>
        <v>4</v>
      </c>
      <c r="AM233" t="str">
        <f t="shared" ca="1" si="14"/>
        <v>2-5 Years</v>
      </c>
      <c r="AN233" t="str">
        <f t="shared" si="15"/>
        <v>Technician</v>
      </c>
    </row>
    <row r="234" spans="1:40">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W234" s="1"/>
      <c r="X234" t="s">
        <v>44</v>
      </c>
      <c r="Y234" t="s">
        <v>45</v>
      </c>
      <c r="Z234" t="s">
        <v>46</v>
      </c>
      <c r="AA234" t="s">
        <v>69</v>
      </c>
      <c r="AC234" t="s">
        <v>70</v>
      </c>
      <c r="AD234" t="s">
        <v>49</v>
      </c>
      <c r="AE234">
        <v>4.3600000000000003</v>
      </c>
      <c r="AF234">
        <v>5</v>
      </c>
      <c r="AG234">
        <v>0</v>
      </c>
      <c r="AH234" s="1">
        <v>43507</v>
      </c>
      <c r="AI234">
        <v>0</v>
      </c>
      <c r="AJ234">
        <v>16</v>
      </c>
      <c r="AK234" t="str">
        <f t="shared" si="12"/>
        <v>Non-Technical</v>
      </c>
      <c r="AL234">
        <f t="shared" ca="1" si="13"/>
        <v>14</v>
      </c>
      <c r="AM234" t="str">
        <f t="shared" ca="1" si="14"/>
        <v>10+ Years</v>
      </c>
      <c r="AN234" t="str">
        <f t="shared" si="15"/>
        <v>Technician</v>
      </c>
    </row>
    <row r="235" spans="1:40">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c r="AK235" t="str">
        <f t="shared" si="12"/>
        <v>Non-Technical</v>
      </c>
      <c r="AL235">
        <f t="shared" ca="1" si="13"/>
        <v>0</v>
      </c>
      <c r="AM235" t="str">
        <f t="shared" ca="1" si="14"/>
        <v>0-2 Years</v>
      </c>
      <c r="AN235" t="str">
        <f t="shared" si="15"/>
        <v>Technician</v>
      </c>
    </row>
    <row r="236" spans="1:40">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c r="AK236" t="str">
        <f t="shared" si="12"/>
        <v>Non-Technical</v>
      </c>
      <c r="AL236">
        <f t="shared" ca="1" si="13"/>
        <v>0</v>
      </c>
      <c r="AM236" t="str">
        <f t="shared" ca="1" si="14"/>
        <v>0-2 Years</v>
      </c>
      <c r="AN236" t="str">
        <f t="shared" si="15"/>
        <v>Technician</v>
      </c>
    </row>
    <row r="237" spans="1:40">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c r="AK237" t="str">
        <f t="shared" si="12"/>
        <v>Non-Technical</v>
      </c>
      <c r="AL237">
        <f t="shared" ca="1" si="13"/>
        <v>5</v>
      </c>
      <c r="AM237" t="str">
        <f t="shared" ca="1" si="14"/>
        <v>5-10 Years</v>
      </c>
      <c r="AN237" t="str">
        <f t="shared" si="15"/>
        <v>Technician</v>
      </c>
    </row>
    <row r="238" spans="1:40">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c r="AK238" t="str">
        <f t="shared" si="12"/>
        <v>Non-Technical</v>
      </c>
      <c r="AL238">
        <f t="shared" ca="1" si="13"/>
        <v>5</v>
      </c>
      <c r="AM238" t="str">
        <f t="shared" ca="1" si="14"/>
        <v>5-10 Years</v>
      </c>
      <c r="AN238" t="str">
        <f t="shared" si="15"/>
        <v>Technician</v>
      </c>
    </row>
    <row r="239" spans="1:40">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W239" s="1"/>
      <c r="X239" t="s">
        <v>44</v>
      </c>
      <c r="Y239" t="s">
        <v>45</v>
      </c>
      <c r="Z239" t="s">
        <v>46</v>
      </c>
      <c r="AA239" t="s">
        <v>83</v>
      </c>
      <c r="AB239">
        <v>12</v>
      </c>
      <c r="AC239" t="s">
        <v>80</v>
      </c>
      <c r="AD239" t="s">
        <v>49</v>
      </c>
      <c r="AE239">
        <v>3.6</v>
      </c>
      <c r="AF239">
        <v>5</v>
      </c>
      <c r="AG239">
        <v>0</v>
      </c>
      <c r="AH239" s="1">
        <v>43507</v>
      </c>
      <c r="AI239">
        <v>0</v>
      </c>
      <c r="AJ239">
        <v>4</v>
      </c>
      <c r="AK239" t="str">
        <f t="shared" si="12"/>
        <v>Non-Technical</v>
      </c>
      <c r="AL239">
        <f t="shared" ca="1" si="13"/>
        <v>12</v>
      </c>
      <c r="AM239" t="str">
        <f t="shared" ca="1" si="14"/>
        <v>10+ Years</v>
      </c>
      <c r="AN239" t="str">
        <f t="shared" si="15"/>
        <v>Technician</v>
      </c>
    </row>
    <row r="240" spans="1:40">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W240" s="1"/>
      <c r="X240" t="s">
        <v>44</v>
      </c>
      <c r="Y240" t="s">
        <v>45</v>
      </c>
      <c r="Z240" t="s">
        <v>55</v>
      </c>
      <c r="AA240" t="s">
        <v>56</v>
      </c>
      <c r="AB240">
        <v>4</v>
      </c>
      <c r="AC240" t="s">
        <v>80</v>
      </c>
      <c r="AD240" t="s">
        <v>58</v>
      </c>
      <c r="AE240">
        <v>3.69</v>
      </c>
      <c r="AF240">
        <v>5</v>
      </c>
      <c r="AG240">
        <v>6</v>
      </c>
      <c r="AH240" s="1">
        <v>43510</v>
      </c>
      <c r="AI240">
        <v>0</v>
      </c>
      <c r="AJ240">
        <v>15</v>
      </c>
      <c r="AK240" t="str">
        <f t="shared" si="12"/>
        <v>Technical</v>
      </c>
      <c r="AL240">
        <f t="shared" ca="1" si="13"/>
        <v>11</v>
      </c>
      <c r="AM240" t="str">
        <f t="shared" ca="1" si="14"/>
        <v>10+ Years</v>
      </c>
      <c r="AN240" t="str">
        <f t="shared" si="15"/>
        <v>Other</v>
      </c>
    </row>
    <row r="241" spans="1:40">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c r="AK241" t="str">
        <f t="shared" si="12"/>
        <v>Technical</v>
      </c>
      <c r="AL241">
        <f t="shared" ca="1" si="13"/>
        <v>3</v>
      </c>
      <c r="AM241" t="str">
        <f t="shared" ca="1" si="14"/>
        <v>2-5 Years</v>
      </c>
      <c r="AN241" t="str">
        <f t="shared" si="15"/>
        <v>Other</v>
      </c>
    </row>
    <row r="242" spans="1:40">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W242" s="1"/>
      <c r="X242" t="s">
        <v>44</v>
      </c>
      <c r="Y242" t="s">
        <v>45</v>
      </c>
      <c r="Z242" t="s">
        <v>55</v>
      </c>
      <c r="AA242" t="s">
        <v>197</v>
      </c>
      <c r="AB242">
        <v>13</v>
      </c>
      <c r="AC242" t="s">
        <v>57</v>
      </c>
      <c r="AD242" t="s">
        <v>58</v>
      </c>
      <c r="AE242">
        <v>4.9400000000000004</v>
      </c>
      <c r="AF242">
        <v>3</v>
      </c>
      <c r="AG242">
        <v>5</v>
      </c>
      <c r="AH242" s="1">
        <v>43502</v>
      </c>
      <c r="AI242">
        <v>0</v>
      </c>
      <c r="AJ242">
        <v>17</v>
      </c>
      <c r="AK242" t="str">
        <f t="shared" si="12"/>
        <v>Technical</v>
      </c>
      <c r="AL242">
        <f t="shared" ca="1" si="13"/>
        <v>9</v>
      </c>
      <c r="AM242" t="str">
        <f t="shared" ca="1" si="14"/>
        <v>5-10 Years</v>
      </c>
      <c r="AN242" t="str">
        <f t="shared" si="15"/>
        <v>Other</v>
      </c>
    </row>
    <row r="243" spans="1:40">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W243" s="1"/>
      <c r="X243" t="s">
        <v>44</v>
      </c>
      <c r="Y243" t="s">
        <v>45</v>
      </c>
      <c r="Z243" t="s">
        <v>46</v>
      </c>
      <c r="AA243" t="s">
        <v>91</v>
      </c>
      <c r="AB243">
        <v>14</v>
      </c>
      <c r="AC243" t="s">
        <v>201</v>
      </c>
      <c r="AD243" t="s">
        <v>58</v>
      </c>
      <c r="AE243">
        <v>5</v>
      </c>
      <c r="AF243">
        <v>4</v>
      </c>
      <c r="AG243">
        <v>0</v>
      </c>
      <c r="AH243" s="1">
        <v>43496</v>
      </c>
      <c r="AI243">
        <v>0</v>
      </c>
      <c r="AJ243">
        <v>8</v>
      </c>
      <c r="AK243" t="str">
        <f t="shared" si="12"/>
        <v>Non-Technical</v>
      </c>
      <c r="AL243">
        <f t="shared" ca="1" si="13"/>
        <v>12</v>
      </c>
      <c r="AM243" t="str">
        <f t="shared" ca="1" si="14"/>
        <v>10+ Years</v>
      </c>
      <c r="AN243" t="str">
        <f t="shared" si="15"/>
        <v>Technician</v>
      </c>
    </row>
    <row r="244" spans="1:40">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c r="AK244" t="str">
        <f t="shared" si="12"/>
        <v>Non-Technical</v>
      </c>
      <c r="AL244">
        <f t="shared" ca="1" si="13"/>
        <v>7</v>
      </c>
      <c r="AM244" t="str">
        <f t="shared" ca="1" si="14"/>
        <v>5-10 Years</v>
      </c>
      <c r="AN244" t="str">
        <f t="shared" si="15"/>
        <v>Technician</v>
      </c>
    </row>
    <row r="245" spans="1:40">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W245" s="1"/>
      <c r="X245" t="s">
        <v>44</v>
      </c>
      <c r="Y245" t="s">
        <v>45</v>
      </c>
      <c r="Z245" t="s">
        <v>55</v>
      </c>
      <c r="AA245" t="s">
        <v>147</v>
      </c>
      <c r="AB245">
        <v>5</v>
      </c>
      <c r="AC245" t="s">
        <v>57</v>
      </c>
      <c r="AD245" t="s">
        <v>58</v>
      </c>
      <c r="AE245">
        <v>3.6</v>
      </c>
      <c r="AF245">
        <v>5</v>
      </c>
      <c r="AG245">
        <v>7</v>
      </c>
      <c r="AH245" s="1">
        <v>43514</v>
      </c>
      <c r="AI245">
        <v>0</v>
      </c>
      <c r="AJ245">
        <v>13</v>
      </c>
      <c r="AK245" t="str">
        <f t="shared" si="12"/>
        <v>Technical</v>
      </c>
      <c r="AL245">
        <f t="shared" ca="1" si="13"/>
        <v>13</v>
      </c>
      <c r="AM245" t="str">
        <f t="shared" ca="1" si="14"/>
        <v>10+ Years</v>
      </c>
      <c r="AN245" t="str">
        <f t="shared" si="15"/>
        <v>Manager</v>
      </c>
    </row>
    <row r="246" spans="1:40">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c r="AK246" t="str">
        <f t="shared" si="12"/>
        <v>Technical</v>
      </c>
      <c r="AL246">
        <f t="shared" ca="1" si="13"/>
        <v>3</v>
      </c>
      <c r="AM246" t="str">
        <f t="shared" ca="1" si="14"/>
        <v>2-5 Years</v>
      </c>
      <c r="AN246" t="str">
        <f t="shared" si="15"/>
        <v>Manager</v>
      </c>
    </row>
    <row r="247" spans="1:40">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W247" s="1"/>
      <c r="X247" t="s">
        <v>44</v>
      </c>
      <c r="Y247" t="s">
        <v>45</v>
      </c>
      <c r="Z247" t="s">
        <v>75</v>
      </c>
      <c r="AA247" t="s">
        <v>76</v>
      </c>
      <c r="AB247">
        <v>10</v>
      </c>
      <c r="AC247" t="s">
        <v>57</v>
      </c>
      <c r="AD247" t="s">
        <v>58</v>
      </c>
      <c r="AE247">
        <v>4.2</v>
      </c>
      <c r="AF247">
        <v>3</v>
      </c>
      <c r="AG247">
        <v>6</v>
      </c>
      <c r="AH247" s="1">
        <v>43509</v>
      </c>
      <c r="AI247">
        <v>0</v>
      </c>
      <c r="AJ247">
        <v>2</v>
      </c>
      <c r="AK247" t="str">
        <f t="shared" si="12"/>
        <v>Technical</v>
      </c>
      <c r="AL247">
        <f t="shared" ca="1" si="13"/>
        <v>13</v>
      </c>
      <c r="AM247" t="str">
        <f t="shared" ca="1" si="14"/>
        <v>10+ Years</v>
      </c>
      <c r="AN247" t="str">
        <f t="shared" si="15"/>
        <v>Other</v>
      </c>
    </row>
    <row r="248" spans="1:40">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W248" s="1"/>
      <c r="X248" t="s">
        <v>44</v>
      </c>
      <c r="Y248" t="s">
        <v>45</v>
      </c>
      <c r="Z248" t="s">
        <v>46</v>
      </c>
      <c r="AA248" t="s">
        <v>99</v>
      </c>
      <c r="AB248">
        <v>18</v>
      </c>
      <c r="AC248" t="s">
        <v>84</v>
      </c>
      <c r="AD248" t="s">
        <v>118</v>
      </c>
      <c r="AE248">
        <v>2.6</v>
      </c>
      <c r="AF248">
        <v>4</v>
      </c>
      <c r="AG248">
        <v>0</v>
      </c>
      <c r="AH248" s="1">
        <v>43514</v>
      </c>
      <c r="AI248">
        <v>5</v>
      </c>
      <c r="AJ248">
        <v>4</v>
      </c>
      <c r="AK248" t="str">
        <f t="shared" si="12"/>
        <v>Non-Technical</v>
      </c>
      <c r="AL248">
        <f t="shared" ca="1" si="13"/>
        <v>9</v>
      </c>
      <c r="AM248" t="str">
        <f t="shared" ca="1" si="14"/>
        <v>5-10 Years</v>
      </c>
      <c r="AN248" t="str">
        <f t="shared" si="15"/>
        <v>Technician</v>
      </c>
    </row>
    <row r="249" spans="1:40">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c r="AK249" t="str">
        <f t="shared" si="12"/>
        <v>Non-Technical</v>
      </c>
      <c r="AL249">
        <f t="shared" ca="1" si="13"/>
        <v>9</v>
      </c>
      <c r="AM249" t="str">
        <f t="shared" ca="1" si="14"/>
        <v>5-10 Years</v>
      </c>
      <c r="AN249" t="str">
        <f t="shared" si="15"/>
        <v>Technician</v>
      </c>
    </row>
    <row r="250" spans="1:40">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W250" s="1"/>
      <c r="X250" t="s">
        <v>44</v>
      </c>
      <c r="Y250" t="s">
        <v>45</v>
      </c>
      <c r="Z250" t="s">
        <v>46</v>
      </c>
      <c r="AA250" t="s">
        <v>99</v>
      </c>
      <c r="AB250">
        <v>18</v>
      </c>
      <c r="AC250" t="s">
        <v>117</v>
      </c>
      <c r="AD250" t="s">
        <v>58</v>
      </c>
      <c r="AE250">
        <v>4.0999999999999996</v>
      </c>
      <c r="AF250">
        <v>3</v>
      </c>
      <c r="AG250">
        <v>0</v>
      </c>
      <c r="AH250" s="1">
        <v>43475</v>
      </c>
      <c r="AI250">
        <v>0</v>
      </c>
      <c r="AJ250">
        <v>13</v>
      </c>
      <c r="AK250" t="str">
        <f t="shared" si="12"/>
        <v>Non-Technical</v>
      </c>
      <c r="AL250">
        <f t="shared" ca="1" si="13"/>
        <v>15</v>
      </c>
      <c r="AM250" t="str">
        <f t="shared" ca="1" si="14"/>
        <v>10+ Years</v>
      </c>
      <c r="AN250" t="str">
        <f t="shared" si="15"/>
        <v>Technician</v>
      </c>
    </row>
    <row r="251" spans="1:40">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c r="AK251" t="str">
        <f t="shared" si="12"/>
        <v>Technical</v>
      </c>
      <c r="AL251">
        <f t="shared" ca="1" si="13"/>
        <v>0</v>
      </c>
      <c r="AM251" t="str">
        <f t="shared" ca="1" si="14"/>
        <v>0-2 Years</v>
      </c>
      <c r="AN251" t="str">
        <f t="shared" si="15"/>
        <v>Other</v>
      </c>
    </row>
    <row r="252" spans="1:40">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W252" s="1"/>
      <c r="X252" t="s">
        <v>44</v>
      </c>
      <c r="Y252" t="s">
        <v>45</v>
      </c>
      <c r="Z252" t="s">
        <v>46</v>
      </c>
      <c r="AA252" t="s">
        <v>65</v>
      </c>
      <c r="AB252">
        <v>16</v>
      </c>
      <c r="AC252" t="s">
        <v>48</v>
      </c>
      <c r="AD252" t="s">
        <v>58</v>
      </c>
      <c r="AE252">
        <v>3.51</v>
      </c>
      <c r="AF252">
        <v>3</v>
      </c>
      <c r="AG252">
        <v>0</v>
      </c>
      <c r="AH252" s="1">
        <v>43514</v>
      </c>
      <c r="AI252">
        <v>0</v>
      </c>
      <c r="AJ252">
        <v>2</v>
      </c>
      <c r="AK252" t="str">
        <f t="shared" si="12"/>
        <v>Non-Technical</v>
      </c>
      <c r="AL252">
        <f t="shared" ca="1" si="13"/>
        <v>11</v>
      </c>
      <c r="AM252" t="str">
        <f t="shared" ca="1" si="14"/>
        <v>10+ Years</v>
      </c>
      <c r="AN252" t="str">
        <f t="shared" si="15"/>
        <v>Technician</v>
      </c>
    </row>
    <row r="253" spans="1:40">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W253" s="1"/>
      <c r="X253" t="s">
        <v>44</v>
      </c>
      <c r="Y253" t="s">
        <v>45</v>
      </c>
      <c r="Z253" t="s">
        <v>46</v>
      </c>
      <c r="AA253" t="s">
        <v>69</v>
      </c>
      <c r="AC253" t="s">
        <v>70</v>
      </c>
      <c r="AD253" t="s">
        <v>58</v>
      </c>
      <c r="AE253">
        <v>5</v>
      </c>
      <c r="AF253">
        <v>5</v>
      </c>
      <c r="AG253">
        <v>0</v>
      </c>
      <c r="AH253" s="1">
        <v>43502</v>
      </c>
      <c r="AI253">
        <v>0</v>
      </c>
      <c r="AJ253">
        <v>14</v>
      </c>
      <c r="AK253" t="str">
        <f t="shared" si="12"/>
        <v>Non-Technical</v>
      </c>
      <c r="AL253">
        <f t="shared" ca="1" si="13"/>
        <v>12</v>
      </c>
      <c r="AM253" t="str">
        <f t="shared" ca="1" si="14"/>
        <v>10+ Years</v>
      </c>
      <c r="AN253" t="str">
        <f t="shared" si="15"/>
        <v>Technician</v>
      </c>
    </row>
    <row r="254" spans="1:40">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W254" s="1"/>
      <c r="X254" t="s">
        <v>44</v>
      </c>
      <c r="Y254" t="s">
        <v>45</v>
      </c>
      <c r="Z254" t="s">
        <v>55</v>
      </c>
      <c r="AA254" t="s">
        <v>87</v>
      </c>
      <c r="AB254">
        <v>7</v>
      </c>
      <c r="AC254" t="s">
        <v>48</v>
      </c>
      <c r="AD254" t="s">
        <v>58</v>
      </c>
      <c r="AE254">
        <v>3.31</v>
      </c>
      <c r="AF254">
        <v>3</v>
      </c>
      <c r="AG254">
        <v>6</v>
      </c>
      <c r="AH254" s="1">
        <v>43472</v>
      </c>
      <c r="AI254">
        <v>0</v>
      </c>
      <c r="AJ254">
        <v>7</v>
      </c>
      <c r="AK254" t="str">
        <f t="shared" si="12"/>
        <v>Technical</v>
      </c>
      <c r="AL254">
        <f t="shared" ca="1" si="13"/>
        <v>11</v>
      </c>
      <c r="AM254" t="str">
        <f t="shared" ca="1" si="14"/>
        <v>10+ Years</v>
      </c>
      <c r="AN254" t="str">
        <f t="shared" si="15"/>
        <v>Other</v>
      </c>
    </row>
    <row r="255" spans="1:40">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W255" s="1"/>
      <c r="X255" t="s">
        <v>44</v>
      </c>
      <c r="Y255" t="s">
        <v>45</v>
      </c>
      <c r="Z255" t="s">
        <v>46</v>
      </c>
      <c r="AA255" t="s">
        <v>72</v>
      </c>
      <c r="AB255">
        <v>11</v>
      </c>
      <c r="AC255" t="s">
        <v>48</v>
      </c>
      <c r="AD255" t="s">
        <v>58</v>
      </c>
      <c r="AE255">
        <v>4.8099999999999996</v>
      </c>
      <c r="AF255">
        <v>4</v>
      </c>
      <c r="AG255">
        <v>0</v>
      </c>
      <c r="AH255" s="1">
        <v>43511</v>
      </c>
      <c r="AI255">
        <v>0</v>
      </c>
      <c r="AJ255">
        <v>15</v>
      </c>
      <c r="AK255" t="str">
        <f t="shared" si="12"/>
        <v>Non-Technical</v>
      </c>
      <c r="AL255">
        <f t="shared" ca="1" si="13"/>
        <v>12</v>
      </c>
      <c r="AM255" t="str">
        <f t="shared" ca="1" si="14"/>
        <v>10+ Years</v>
      </c>
      <c r="AN255" t="str">
        <f t="shared" si="15"/>
        <v>Technician</v>
      </c>
    </row>
    <row r="256" spans="1:40">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W256" s="1"/>
      <c r="X256" t="s">
        <v>44</v>
      </c>
      <c r="Y256" t="s">
        <v>45</v>
      </c>
      <c r="Z256" t="s">
        <v>55</v>
      </c>
      <c r="AA256" t="s">
        <v>56</v>
      </c>
      <c r="AB256">
        <v>4</v>
      </c>
      <c r="AC256" t="s">
        <v>80</v>
      </c>
      <c r="AD256" t="s">
        <v>58</v>
      </c>
      <c r="AE256">
        <v>3.32</v>
      </c>
      <c r="AF256">
        <v>3</v>
      </c>
      <c r="AG256">
        <v>7</v>
      </c>
      <c r="AH256" s="1">
        <v>43479</v>
      </c>
      <c r="AI256">
        <v>0</v>
      </c>
      <c r="AJ256">
        <v>16</v>
      </c>
      <c r="AK256" t="str">
        <f t="shared" si="12"/>
        <v>Technical</v>
      </c>
      <c r="AL256">
        <f t="shared" ca="1" si="13"/>
        <v>11</v>
      </c>
      <c r="AM256" t="str">
        <f t="shared" ca="1" si="14"/>
        <v>10+ Years</v>
      </c>
      <c r="AN256" t="str">
        <f t="shared" si="15"/>
        <v>Other</v>
      </c>
    </row>
    <row r="257" spans="1:40">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W257" s="1"/>
      <c r="X257" t="s">
        <v>44</v>
      </c>
      <c r="Y257" t="s">
        <v>45</v>
      </c>
      <c r="Z257" t="s">
        <v>126</v>
      </c>
      <c r="AA257" t="s">
        <v>127</v>
      </c>
      <c r="AB257">
        <v>1</v>
      </c>
      <c r="AC257" t="s">
        <v>201</v>
      </c>
      <c r="AD257" t="s">
        <v>58</v>
      </c>
      <c r="AE257">
        <v>5</v>
      </c>
      <c r="AF257">
        <v>3</v>
      </c>
      <c r="AG257">
        <v>5</v>
      </c>
      <c r="AH257" s="1">
        <v>43480</v>
      </c>
      <c r="AI257">
        <v>0</v>
      </c>
      <c r="AJ257">
        <v>2</v>
      </c>
      <c r="AK257" t="str">
        <f t="shared" si="12"/>
        <v>Non-Technical</v>
      </c>
      <c r="AL257">
        <f t="shared" ca="1" si="13"/>
        <v>10</v>
      </c>
      <c r="AM257" t="str">
        <f t="shared" ca="1" si="14"/>
        <v>10+ Years</v>
      </c>
      <c r="AN257" t="str">
        <f t="shared" si="15"/>
        <v>Other</v>
      </c>
    </row>
    <row r="258" spans="1:40">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c r="AK258" t="str">
        <f t="shared" ref="AK258:AK312" si="16">IF(OR(Z258="IT/IS",Z258="Software Engineering"),"Technical","Non-Technical")</f>
        <v>Non-Technical</v>
      </c>
      <c r="AL258">
        <f t="shared" ref="AL258:AL312" ca="1" si="17">IF(W258="",DATEDIF(V258,TODAY(),"Y"),DATEDIF(V258,W258,"Y"))</f>
        <v>5</v>
      </c>
      <c r="AM258" t="str">
        <f t="shared" ref="AM258:AM312" ca="1" si="18">IF(AL258&lt;2,"0-2 Years",
IF(AL258&lt;5,"2-5 Years",
IF(AL258&lt;10,"5-10 Years","10+ Years")))</f>
        <v>5-10 Years</v>
      </c>
      <c r="AN258" t="str">
        <f t="shared" ref="AN258:AN312" si="19">IF(ISNUMBER(SEARCH("Manager",M258)),"Manager",
IF(ISNUMBER(SEARCH("Technician",M258)),"Technician","Other"))</f>
        <v>Technician</v>
      </c>
    </row>
    <row r="259" spans="1:40">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W259" s="1"/>
      <c r="X259" t="s">
        <v>44</v>
      </c>
      <c r="Y259" t="s">
        <v>45</v>
      </c>
      <c r="Z259" t="s">
        <v>46</v>
      </c>
      <c r="AA259" t="s">
        <v>65</v>
      </c>
      <c r="AB259">
        <v>16</v>
      </c>
      <c r="AC259" t="s">
        <v>57</v>
      </c>
      <c r="AD259" t="s">
        <v>49</v>
      </c>
      <c r="AE259">
        <v>4.3</v>
      </c>
      <c r="AF259">
        <v>3</v>
      </c>
      <c r="AG259">
        <v>0</v>
      </c>
      <c r="AH259" s="1">
        <v>43493</v>
      </c>
      <c r="AI259">
        <v>0</v>
      </c>
      <c r="AJ259">
        <v>4</v>
      </c>
      <c r="AK259" t="str">
        <f t="shared" si="16"/>
        <v>Non-Technical</v>
      </c>
      <c r="AL259">
        <f t="shared" ca="1" si="17"/>
        <v>11</v>
      </c>
      <c r="AM259" t="str">
        <f t="shared" ca="1" si="18"/>
        <v>10+ Years</v>
      </c>
      <c r="AN259" t="str">
        <f t="shared" si="19"/>
        <v>Technician</v>
      </c>
    </row>
    <row r="260" spans="1:40">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W260" s="1"/>
      <c r="X260" t="s">
        <v>44</v>
      </c>
      <c r="Y260" t="s">
        <v>45</v>
      </c>
      <c r="Z260" t="s">
        <v>141</v>
      </c>
      <c r="AA260" t="s">
        <v>182</v>
      </c>
      <c r="AB260">
        <v>15</v>
      </c>
      <c r="AC260" t="s">
        <v>84</v>
      </c>
      <c r="AD260" t="s">
        <v>118</v>
      </c>
      <c r="AE260">
        <v>2.4</v>
      </c>
      <c r="AF260">
        <v>4</v>
      </c>
      <c r="AG260">
        <v>0</v>
      </c>
      <c r="AH260" s="1">
        <v>43481</v>
      </c>
      <c r="AI260">
        <v>2</v>
      </c>
      <c r="AJ260">
        <v>16</v>
      </c>
      <c r="AK260" t="str">
        <f t="shared" si="16"/>
        <v>Non-Technical</v>
      </c>
      <c r="AL260">
        <f t="shared" ca="1" si="17"/>
        <v>11</v>
      </c>
      <c r="AM260" t="str">
        <f t="shared" ca="1" si="18"/>
        <v>10+ Years</v>
      </c>
      <c r="AN260" t="str">
        <f t="shared" si="19"/>
        <v>Manager</v>
      </c>
    </row>
    <row r="261" spans="1:40">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c r="AK261" t="str">
        <f t="shared" si="16"/>
        <v>Non-Technical</v>
      </c>
      <c r="AL261">
        <f t="shared" ca="1" si="17"/>
        <v>1</v>
      </c>
      <c r="AM261" t="str">
        <f t="shared" ca="1" si="18"/>
        <v>0-2 Years</v>
      </c>
      <c r="AN261" t="str">
        <f t="shared" si="19"/>
        <v>Other</v>
      </c>
    </row>
    <row r="262" spans="1:40">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W262" s="1"/>
      <c r="X262" t="s">
        <v>44</v>
      </c>
      <c r="Y262" t="s">
        <v>45</v>
      </c>
      <c r="Z262" t="s">
        <v>46</v>
      </c>
      <c r="AA262" t="s">
        <v>79</v>
      </c>
      <c r="AB262">
        <v>19</v>
      </c>
      <c r="AC262" t="s">
        <v>80</v>
      </c>
      <c r="AD262" t="s">
        <v>58</v>
      </c>
      <c r="AE262">
        <v>3.73</v>
      </c>
      <c r="AF262">
        <v>3</v>
      </c>
      <c r="AG262">
        <v>0</v>
      </c>
      <c r="AH262" s="1">
        <v>43489</v>
      </c>
      <c r="AI262">
        <v>0</v>
      </c>
      <c r="AJ262">
        <v>16</v>
      </c>
      <c r="AK262" t="str">
        <f t="shared" si="16"/>
        <v>Non-Technical</v>
      </c>
      <c r="AL262">
        <f t="shared" ca="1" si="17"/>
        <v>12</v>
      </c>
      <c r="AM262" t="str">
        <f t="shared" ca="1" si="18"/>
        <v>10+ Years</v>
      </c>
      <c r="AN262" t="str">
        <f t="shared" si="19"/>
        <v>Technician</v>
      </c>
    </row>
    <row r="263" spans="1:40">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W263" s="1"/>
      <c r="X263" t="s">
        <v>44</v>
      </c>
      <c r="Y263" t="s">
        <v>45</v>
      </c>
      <c r="Z263" t="s">
        <v>55</v>
      </c>
      <c r="AA263" t="s">
        <v>166</v>
      </c>
      <c r="AB263">
        <v>6</v>
      </c>
      <c r="AC263" t="s">
        <v>48</v>
      </c>
      <c r="AD263" t="s">
        <v>58</v>
      </c>
      <c r="AE263">
        <v>4.3</v>
      </c>
      <c r="AF263">
        <v>3</v>
      </c>
      <c r="AG263">
        <v>5</v>
      </c>
      <c r="AH263" s="1">
        <v>43504</v>
      </c>
      <c r="AI263">
        <v>0</v>
      </c>
      <c r="AJ263">
        <v>19</v>
      </c>
      <c r="AK263" t="str">
        <f t="shared" si="16"/>
        <v>Technical</v>
      </c>
      <c r="AL263">
        <f t="shared" ca="1" si="17"/>
        <v>14</v>
      </c>
      <c r="AM263" t="str">
        <f t="shared" ca="1" si="18"/>
        <v>10+ Years</v>
      </c>
      <c r="AN263" t="str">
        <f t="shared" si="19"/>
        <v>Other</v>
      </c>
    </row>
    <row r="264" spans="1:40">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W264" s="1"/>
      <c r="X264" t="s">
        <v>44</v>
      </c>
      <c r="Y264" t="s">
        <v>45</v>
      </c>
      <c r="Z264" t="s">
        <v>55</v>
      </c>
      <c r="AA264" t="s">
        <v>87</v>
      </c>
      <c r="AB264">
        <v>7</v>
      </c>
      <c r="AC264" t="s">
        <v>48</v>
      </c>
      <c r="AD264" t="s">
        <v>58</v>
      </c>
      <c r="AE264">
        <v>3.27</v>
      </c>
      <c r="AF264">
        <v>4</v>
      </c>
      <c r="AG264">
        <v>5</v>
      </c>
      <c r="AH264" s="1">
        <v>43479</v>
      </c>
      <c r="AI264">
        <v>0</v>
      </c>
      <c r="AJ264">
        <v>13</v>
      </c>
      <c r="AK264" t="str">
        <f t="shared" si="16"/>
        <v>Technical</v>
      </c>
      <c r="AL264">
        <f t="shared" ca="1" si="17"/>
        <v>9</v>
      </c>
      <c r="AM264" t="str">
        <f t="shared" ca="1" si="18"/>
        <v>5-10 Years</v>
      </c>
      <c r="AN264" t="str">
        <f t="shared" si="19"/>
        <v>Other</v>
      </c>
    </row>
    <row r="265" spans="1:40">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W265" s="1"/>
      <c r="X265" t="s">
        <v>44</v>
      </c>
      <c r="Y265" t="s">
        <v>45</v>
      </c>
      <c r="Z265" t="s">
        <v>46</v>
      </c>
      <c r="AA265" t="s">
        <v>83</v>
      </c>
      <c r="AB265">
        <v>12</v>
      </c>
      <c r="AC265" t="s">
        <v>57</v>
      </c>
      <c r="AD265" t="s">
        <v>191</v>
      </c>
      <c r="AE265">
        <v>2.4</v>
      </c>
      <c r="AF265">
        <v>2</v>
      </c>
      <c r="AG265">
        <v>1</v>
      </c>
      <c r="AH265" s="1">
        <v>43521</v>
      </c>
      <c r="AI265">
        <v>6</v>
      </c>
      <c r="AJ265">
        <v>20</v>
      </c>
      <c r="AK265" t="str">
        <f t="shared" si="16"/>
        <v>Non-Technical</v>
      </c>
      <c r="AL265">
        <f t="shared" ca="1" si="17"/>
        <v>14</v>
      </c>
      <c r="AM265" t="str">
        <f t="shared" ca="1" si="18"/>
        <v>10+ Years</v>
      </c>
      <c r="AN265" t="str">
        <f t="shared" si="19"/>
        <v>Technician</v>
      </c>
    </row>
    <row r="266" spans="1:40">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W266" s="1"/>
      <c r="X266" t="s">
        <v>44</v>
      </c>
      <c r="Y266" t="s">
        <v>45</v>
      </c>
      <c r="Z266" t="s">
        <v>46</v>
      </c>
      <c r="AA266" t="s">
        <v>131</v>
      </c>
      <c r="AB266">
        <v>2</v>
      </c>
      <c r="AC266" t="s">
        <v>48</v>
      </c>
      <c r="AD266" t="s">
        <v>58</v>
      </c>
      <c r="AE266">
        <v>4.83</v>
      </c>
      <c r="AF266">
        <v>5</v>
      </c>
      <c r="AG266">
        <v>0</v>
      </c>
      <c r="AH266" s="1">
        <v>43510</v>
      </c>
      <c r="AI266">
        <v>0</v>
      </c>
      <c r="AJ266">
        <v>15</v>
      </c>
      <c r="AK266" t="str">
        <f t="shared" si="16"/>
        <v>Non-Technical</v>
      </c>
      <c r="AL266">
        <f t="shared" ca="1" si="17"/>
        <v>13</v>
      </c>
      <c r="AM266" t="str">
        <f t="shared" ca="1" si="18"/>
        <v>10+ Years</v>
      </c>
      <c r="AN266" t="str">
        <f t="shared" si="19"/>
        <v>Manager</v>
      </c>
    </row>
    <row r="267" spans="1:40">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c r="AK267" t="str">
        <f t="shared" si="16"/>
        <v>Non-Technical</v>
      </c>
      <c r="AL267">
        <f t="shared" ca="1" si="17"/>
        <v>2</v>
      </c>
      <c r="AM267" t="str">
        <f t="shared" ca="1" si="18"/>
        <v>2-5 Years</v>
      </c>
      <c r="AN267" t="str">
        <f t="shared" si="19"/>
        <v>Technician</v>
      </c>
    </row>
    <row r="268" spans="1:40">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W268" s="1"/>
      <c r="X268" t="s">
        <v>44</v>
      </c>
      <c r="Y268" t="s">
        <v>45</v>
      </c>
      <c r="Z268" t="s">
        <v>46</v>
      </c>
      <c r="AA268" t="s">
        <v>63</v>
      </c>
      <c r="AB268">
        <v>20</v>
      </c>
      <c r="AC268" t="s">
        <v>70</v>
      </c>
      <c r="AD268" t="s">
        <v>58</v>
      </c>
      <c r="AE268">
        <v>4.0999999999999996</v>
      </c>
      <c r="AF268">
        <v>4</v>
      </c>
      <c r="AG268">
        <v>0</v>
      </c>
      <c r="AH268" s="1">
        <v>43503</v>
      </c>
      <c r="AI268">
        <v>0</v>
      </c>
      <c r="AJ268">
        <v>9</v>
      </c>
      <c r="AK268" t="str">
        <f t="shared" si="16"/>
        <v>Non-Technical</v>
      </c>
      <c r="AL268">
        <f t="shared" ca="1" si="17"/>
        <v>15</v>
      </c>
      <c r="AM268" t="str">
        <f t="shared" ca="1" si="18"/>
        <v>10+ Years</v>
      </c>
      <c r="AN268" t="str">
        <f t="shared" si="19"/>
        <v>Technician</v>
      </c>
    </row>
    <row r="269" spans="1:40">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W269" s="1"/>
      <c r="X269" t="s">
        <v>44</v>
      </c>
      <c r="Y269" t="s">
        <v>45</v>
      </c>
      <c r="Z269" t="s">
        <v>141</v>
      </c>
      <c r="AA269" t="s">
        <v>160</v>
      </c>
      <c r="AB269">
        <v>21</v>
      </c>
      <c r="AC269" t="s">
        <v>201</v>
      </c>
      <c r="AD269" t="s">
        <v>191</v>
      </c>
      <c r="AE269">
        <v>1.81</v>
      </c>
      <c r="AF269">
        <v>2</v>
      </c>
      <c r="AG269">
        <v>0</v>
      </c>
      <c r="AH269" s="1">
        <v>43482</v>
      </c>
      <c r="AI269">
        <v>3</v>
      </c>
      <c r="AJ269">
        <v>5</v>
      </c>
      <c r="AK269" t="str">
        <f t="shared" si="16"/>
        <v>Non-Technical</v>
      </c>
      <c r="AL269">
        <f t="shared" ca="1" si="17"/>
        <v>11</v>
      </c>
      <c r="AM269" t="str">
        <f t="shared" ca="1" si="18"/>
        <v>10+ Years</v>
      </c>
      <c r="AN269" t="str">
        <f t="shared" si="19"/>
        <v>Manager</v>
      </c>
    </row>
    <row r="270" spans="1:40">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W270" s="1"/>
      <c r="X270" t="s">
        <v>44</v>
      </c>
      <c r="Y270" t="s">
        <v>45</v>
      </c>
      <c r="Z270" t="s">
        <v>126</v>
      </c>
      <c r="AA270" t="s">
        <v>127</v>
      </c>
      <c r="AB270">
        <v>1</v>
      </c>
      <c r="AC270" t="s">
        <v>57</v>
      </c>
      <c r="AD270" t="s">
        <v>58</v>
      </c>
      <c r="AE270">
        <v>3.9</v>
      </c>
      <c r="AF270">
        <v>5</v>
      </c>
      <c r="AG270">
        <v>5</v>
      </c>
      <c r="AH270" s="1">
        <v>43483</v>
      </c>
      <c r="AI270">
        <v>0</v>
      </c>
      <c r="AJ270">
        <v>9</v>
      </c>
      <c r="AK270" t="str">
        <f t="shared" si="16"/>
        <v>Non-Technical</v>
      </c>
      <c r="AL270">
        <f t="shared" ca="1" si="17"/>
        <v>11</v>
      </c>
      <c r="AM270" t="str">
        <f t="shared" ca="1" si="18"/>
        <v>10+ Years</v>
      </c>
      <c r="AN270" t="str">
        <f t="shared" si="19"/>
        <v>Other</v>
      </c>
    </row>
    <row r="271" spans="1:40">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W271" s="1"/>
      <c r="X271" t="s">
        <v>44</v>
      </c>
      <c r="Y271" t="s">
        <v>45</v>
      </c>
      <c r="Z271" t="s">
        <v>46</v>
      </c>
      <c r="AA271" t="s">
        <v>99</v>
      </c>
      <c r="AB271">
        <v>18</v>
      </c>
      <c r="AC271" t="s">
        <v>48</v>
      </c>
      <c r="AD271" t="s">
        <v>58</v>
      </c>
      <c r="AE271">
        <v>4.7</v>
      </c>
      <c r="AF271">
        <v>3</v>
      </c>
      <c r="AG271">
        <v>0</v>
      </c>
      <c r="AH271" s="1">
        <v>43476</v>
      </c>
      <c r="AI271">
        <v>0</v>
      </c>
      <c r="AJ271">
        <v>4</v>
      </c>
      <c r="AK271" t="str">
        <f t="shared" si="16"/>
        <v>Non-Technical</v>
      </c>
      <c r="AL271">
        <f t="shared" ca="1" si="17"/>
        <v>12</v>
      </c>
      <c r="AM271" t="str">
        <f t="shared" ca="1" si="18"/>
        <v>10+ Years</v>
      </c>
      <c r="AN271" t="str">
        <f t="shared" si="19"/>
        <v>Technician</v>
      </c>
    </row>
    <row r="272" spans="1:40">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W272" s="1"/>
      <c r="X272" t="s">
        <v>44</v>
      </c>
      <c r="Y272" t="s">
        <v>45</v>
      </c>
      <c r="Z272" t="s">
        <v>141</v>
      </c>
      <c r="AA272" t="s">
        <v>142</v>
      </c>
      <c r="AB272">
        <v>17</v>
      </c>
      <c r="AC272" t="s">
        <v>57</v>
      </c>
      <c r="AD272" t="s">
        <v>58</v>
      </c>
      <c r="AE272">
        <v>4.0999999999999996</v>
      </c>
      <c r="AF272">
        <v>4</v>
      </c>
      <c r="AG272">
        <v>0</v>
      </c>
      <c r="AH272" s="1">
        <v>43496</v>
      </c>
      <c r="AI272">
        <v>0</v>
      </c>
      <c r="AJ272">
        <v>18</v>
      </c>
      <c r="AK272" t="str">
        <f t="shared" si="16"/>
        <v>Non-Technical</v>
      </c>
      <c r="AL272">
        <f t="shared" ca="1" si="17"/>
        <v>15</v>
      </c>
      <c r="AM272" t="str">
        <f t="shared" ca="1" si="18"/>
        <v>10+ Years</v>
      </c>
      <c r="AN272" t="str">
        <f t="shared" si="19"/>
        <v>Manager</v>
      </c>
    </row>
    <row r="273" spans="1:40">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W273" s="1"/>
      <c r="X273" t="s">
        <v>44</v>
      </c>
      <c r="Y273" t="s">
        <v>45</v>
      </c>
      <c r="Z273" t="s">
        <v>46</v>
      </c>
      <c r="AA273" t="s">
        <v>131</v>
      </c>
      <c r="AB273">
        <v>2</v>
      </c>
      <c r="AC273" t="s">
        <v>57</v>
      </c>
      <c r="AD273" t="s">
        <v>58</v>
      </c>
      <c r="AE273">
        <v>3.73</v>
      </c>
      <c r="AF273">
        <v>4</v>
      </c>
      <c r="AG273">
        <v>0</v>
      </c>
      <c r="AH273" s="1">
        <v>43489</v>
      </c>
      <c r="AI273">
        <v>0</v>
      </c>
      <c r="AJ273">
        <v>12</v>
      </c>
      <c r="AK273" t="str">
        <f t="shared" si="16"/>
        <v>Non-Technical</v>
      </c>
      <c r="AL273">
        <f t="shared" ca="1" si="17"/>
        <v>17</v>
      </c>
      <c r="AM273" t="str">
        <f t="shared" ca="1" si="18"/>
        <v>10+ Years</v>
      </c>
      <c r="AN273" t="str">
        <f t="shared" si="19"/>
        <v>Manager</v>
      </c>
    </row>
    <row r="274" spans="1:40">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W274" s="1"/>
      <c r="X274" t="s">
        <v>44</v>
      </c>
      <c r="Y274" t="s">
        <v>45</v>
      </c>
      <c r="Z274" t="s">
        <v>46</v>
      </c>
      <c r="AA274" t="s">
        <v>47</v>
      </c>
      <c r="AB274">
        <v>22</v>
      </c>
      <c r="AC274" t="s">
        <v>70</v>
      </c>
      <c r="AD274" t="s">
        <v>58</v>
      </c>
      <c r="AE274">
        <v>4.3600000000000003</v>
      </c>
      <c r="AF274">
        <v>5</v>
      </c>
      <c r="AG274">
        <v>0</v>
      </c>
      <c r="AH274" s="1">
        <v>43489</v>
      </c>
      <c r="AI274">
        <v>0</v>
      </c>
      <c r="AJ274">
        <v>10</v>
      </c>
      <c r="AK274" t="str">
        <f t="shared" si="16"/>
        <v>Non-Technical</v>
      </c>
      <c r="AL274">
        <f t="shared" ca="1" si="17"/>
        <v>11</v>
      </c>
      <c r="AM274" t="str">
        <f t="shared" ca="1" si="18"/>
        <v>10+ Years</v>
      </c>
      <c r="AN274" t="str">
        <f t="shared" si="19"/>
        <v>Technician</v>
      </c>
    </row>
    <row r="275" spans="1:40">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W275" s="1"/>
      <c r="X275" t="s">
        <v>44</v>
      </c>
      <c r="Y275" t="s">
        <v>45</v>
      </c>
      <c r="Z275" t="s">
        <v>46</v>
      </c>
      <c r="AA275" t="s">
        <v>65</v>
      </c>
      <c r="AB275">
        <v>16</v>
      </c>
      <c r="AC275" t="s">
        <v>57</v>
      </c>
      <c r="AD275" t="s">
        <v>58</v>
      </c>
      <c r="AE275">
        <v>3.4</v>
      </c>
      <c r="AF275">
        <v>5</v>
      </c>
      <c r="AG275">
        <v>0</v>
      </c>
      <c r="AH275" s="1">
        <v>43496</v>
      </c>
      <c r="AI275">
        <v>0</v>
      </c>
      <c r="AJ275">
        <v>13</v>
      </c>
      <c r="AK275" t="str">
        <f t="shared" si="16"/>
        <v>Non-Technical</v>
      </c>
      <c r="AL275">
        <f t="shared" ca="1" si="17"/>
        <v>13</v>
      </c>
      <c r="AM275" t="str">
        <f t="shared" ca="1" si="18"/>
        <v>10+ Years</v>
      </c>
      <c r="AN275" t="str">
        <f t="shared" si="19"/>
        <v>Technician</v>
      </c>
    </row>
    <row r="276" spans="1:40">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W276" s="1"/>
      <c r="X276" t="s">
        <v>44</v>
      </c>
      <c r="Y276" t="s">
        <v>45</v>
      </c>
      <c r="Z276" t="s">
        <v>75</v>
      </c>
      <c r="AA276" t="s">
        <v>76</v>
      </c>
      <c r="AB276">
        <v>10</v>
      </c>
      <c r="AC276" t="s">
        <v>48</v>
      </c>
      <c r="AD276" t="s">
        <v>49</v>
      </c>
      <c r="AE276">
        <v>4.5</v>
      </c>
      <c r="AF276">
        <v>5</v>
      </c>
      <c r="AG276">
        <v>5</v>
      </c>
      <c r="AH276" s="1">
        <v>43514</v>
      </c>
      <c r="AI276">
        <v>0</v>
      </c>
      <c r="AJ276">
        <v>1</v>
      </c>
      <c r="AK276" t="str">
        <f t="shared" si="16"/>
        <v>Technical</v>
      </c>
      <c r="AL276">
        <f t="shared" ca="1" si="17"/>
        <v>11</v>
      </c>
      <c r="AM276" t="str">
        <f t="shared" ca="1" si="18"/>
        <v>10+ Years</v>
      </c>
      <c r="AN276" t="str">
        <f t="shared" si="19"/>
        <v>Other</v>
      </c>
    </row>
    <row r="277" spans="1:40">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W277" s="1"/>
      <c r="X277" t="s">
        <v>44</v>
      </c>
      <c r="Y277" t="s">
        <v>45</v>
      </c>
      <c r="Z277" t="s">
        <v>55</v>
      </c>
      <c r="AA277" t="s">
        <v>197</v>
      </c>
      <c r="AB277">
        <v>13</v>
      </c>
      <c r="AC277" t="s">
        <v>57</v>
      </c>
      <c r="AD277" t="s">
        <v>58</v>
      </c>
      <c r="AE277">
        <v>3.4</v>
      </c>
      <c r="AF277">
        <v>3</v>
      </c>
      <c r="AG277">
        <v>6</v>
      </c>
      <c r="AH277" s="1">
        <v>43467</v>
      </c>
      <c r="AI277">
        <v>0</v>
      </c>
      <c r="AJ277">
        <v>14</v>
      </c>
      <c r="AK277" t="str">
        <f t="shared" si="16"/>
        <v>Technical</v>
      </c>
      <c r="AL277">
        <f t="shared" ca="1" si="17"/>
        <v>9</v>
      </c>
      <c r="AM277" t="str">
        <f t="shared" ca="1" si="18"/>
        <v>5-10 Years</v>
      </c>
      <c r="AN277" t="str">
        <f t="shared" si="19"/>
        <v>Other</v>
      </c>
    </row>
    <row r="278" spans="1:40">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c r="AK278" t="str">
        <f t="shared" si="16"/>
        <v>Non-Technical</v>
      </c>
      <c r="AL278">
        <f t="shared" ca="1" si="17"/>
        <v>3</v>
      </c>
      <c r="AM278" t="str">
        <f t="shared" ca="1" si="18"/>
        <v>2-5 Years</v>
      </c>
      <c r="AN278" t="str">
        <f t="shared" si="19"/>
        <v>Technician</v>
      </c>
    </row>
    <row r="279" spans="1:40">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c r="AK279" t="str">
        <f t="shared" si="16"/>
        <v>Non-Technical</v>
      </c>
      <c r="AL279">
        <f t="shared" ca="1" si="17"/>
        <v>6</v>
      </c>
      <c r="AM279" t="str">
        <f t="shared" ca="1" si="18"/>
        <v>5-10 Years</v>
      </c>
      <c r="AN279" t="str">
        <f t="shared" si="19"/>
        <v>Technician</v>
      </c>
    </row>
    <row r="280" spans="1:40">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W280" s="1"/>
      <c r="X280" t="s">
        <v>44</v>
      </c>
      <c r="Y280" t="s">
        <v>45</v>
      </c>
      <c r="Z280" t="s">
        <v>141</v>
      </c>
      <c r="AA280" t="s">
        <v>160</v>
      </c>
      <c r="AB280">
        <v>21</v>
      </c>
      <c r="AC280" t="s">
        <v>57</v>
      </c>
      <c r="AD280" t="s">
        <v>58</v>
      </c>
      <c r="AE280">
        <v>3.69</v>
      </c>
      <c r="AF280">
        <v>3</v>
      </c>
      <c r="AG280">
        <v>0</v>
      </c>
      <c r="AH280" s="1">
        <v>43493</v>
      </c>
      <c r="AI280">
        <v>0</v>
      </c>
      <c r="AJ280">
        <v>18</v>
      </c>
      <c r="AK280" t="str">
        <f t="shared" si="16"/>
        <v>Non-Technical</v>
      </c>
      <c r="AL280">
        <f t="shared" ca="1" si="17"/>
        <v>11</v>
      </c>
      <c r="AM280" t="str">
        <f t="shared" ca="1" si="18"/>
        <v>10+ Years</v>
      </c>
      <c r="AN280" t="str">
        <f t="shared" si="19"/>
        <v>Manager</v>
      </c>
    </row>
    <row r="281" spans="1:40">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c r="AK281" t="str">
        <f t="shared" si="16"/>
        <v>Non-Technical</v>
      </c>
      <c r="AL281">
        <f t="shared" ca="1" si="17"/>
        <v>5</v>
      </c>
      <c r="AM281" t="str">
        <f t="shared" ca="1" si="18"/>
        <v>5-10 Years</v>
      </c>
      <c r="AN281" t="str">
        <f t="shared" si="19"/>
        <v>Technician</v>
      </c>
    </row>
    <row r="282" spans="1:40">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c r="AK282" t="str">
        <f t="shared" si="16"/>
        <v>Non-Technical</v>
      </c>
      <c r="AL282">
        <f t="shared" ca="1" si="17"/>
        <v>3</v>
      </c>
      <c r="AM282" t="str">
        <f t="shared" ca="1" si="18"/>
        <v>2-5 Years</v>
      </c>
      <c r="AN282" t="str">
        <f t="shared" si="19"/>
        <v>Technician</v>
      </c>
    </row>
    <row r="283" spans="1:40">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W283" s="1"/>
      <c r="X283" t="s">
        <v>44</v>
      </c>
      <c r="Y283" t="s">
        <v>45</v>
      </c>
      <c r="Z283" t="s">
        <v>46</v>
      </c>
      <c r="AA283" t="s">
        <v>83</v>
      </c>
      <c r="AB283">
        <v>12</v>
      </c>
      <c r="AC283" t="s">
        <v>57</v>
      </c>
      <c r="AD283" t="s">
        <v>58</v>
      </c>
      <c r="AE283">
        <v>4.21</v>
      </c>
      <c r="AF283">
        <v>5</v>
      </c>
      <c r="AG283">
        <v>0</v>
      </c>
      <c r="AH283" s="1">
        <v>43479</v>
      </c>
      <c r="AI283">
        <v>0</v>
      </c>
      <c r="AJ283">
        <v>4</v>
      </c>
      <c r="AK283" t="str">
        <f t="shared" si="16"/>
        <v>Non-Technical</v>
      </c>
      <c r="AL283">
        <f t="shared" ca="1" si="17"/>
        <v>13</v>
      </c>
      <c r="AM283" t="str">
        <f t="shared" ca="1" si="18"/>
        <v>10+ Years</v>
      </c>
      <c r="AN283" t="str">
        <f t="shared" si="19"/>
        <v>Technician</v>
      </c>
    </row>
    <row r="284" spans="1:40">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W284" s="1"/>
      <c r="X284" t="s">
        <v>44</v>
      </c>
      <c r="Y284" t="s">
        <v>45</v>
      </c>
      <c r="Z284" t="s">
        <v>141</v>
      </c>
      <c r="AA284" t="s">
        <v>160</v>
      </c>
      <c r="AB284">
        <v>21</v>
      </c>
      <c r="AC284" t="s">
        <v>57</v>
      </c>
      <c r="AD284" t="s">
        <v>49</v>
      </c>
      <c r="AE284">
        <v>4.0999999999999996</v>
      </c>
      <c r="AF284">
        <v>3</v>
      </c>
      <c r="AG284">
        <v>0</v>
      </c>
      <c r="AH284" s="1">
        <v>43469</v>
      </c>
      <c r="AI284">
        <v>0</v>
      </c>
      <c r="AJ284">
        <v>6</v>
      </c>
      <c r="AK284" t="str">
        <f t="shared" si="16"/>
        <v>Non-Technical</v>
      </c>
      <c r="AL284">
        <f t="shared" ca="1" si="17"/>
        <v>20</v>
      </c>
      <c r="AM284" t="str">
        <f t="shared" ca="1" si="18"/>
        <v>10+ Years</v>
      </c>
      <c r="AN284" t="str">
        <f t="shared" si="19"/>
        <v>Manager</v>
      </c>
    </row>
    <row r="285" spans="1:40">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W285" s="1"/>
      <c r="X285" t="s">
        <v>44</v>
      </c>
      <c r="Y285" t="s">
        <v>45</v>
      </c>
      <c r="Z285" t="s">
        <v>46</v>
      </c>
      <c r="AA285" t="s">
        <v>91</v>
      </c>
      <c r="AB285">
        <v>14</v>
      </c>
      <c r="AC285" t="s">
        <v>48</v>
      </c>
      <c r="AD285" t="s">
        <v>118</v>
      </c>
      <c r="AE285">
        <v>2.44</v>
      </c>
      <c r="AF285">
        <v>5</v>
      </c>
      <c r="AG285">
        <v>0</v>
      </c>
      <c r="AH285" s="1">
        <v>43507</v>
      </c>
      <c r="AI285">
        <v>4</v>
      </c>
      <c r="AJ285">
        <v>18</v>
      </c>
      <c r="AK285" t="str">
        <f t="shared" si="16"/>
        <v>Non-Technical</v>
      </c>
      <c r="AL285">
        <f t="shared" ca="1" si="17"/>
        <v>12</v>
      </c>
      <c r="AM285" t="str">
        <f t="shared" ca="1" si="18"/>
        <v>10+ Years</v>
      </c>
      <c r="AN285" t="str">
        <f t="shared" si="19"/>
        <v>Technician</v>
      </c>
    </row>
    <row r="286" spans="1:40">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c r="AK286" t="str">
        <f t="shared" si="16"/>
        <v>Technical</v>
      </c>
      <c r="AL286">
        <f t="shared" ca="1" si="17"/>
        <v>1</v>
      </c>
      <c r="AM286" t="str">
        <f t="shared" ca="1" si="18"/>
        <v>0-2 Years</v>
      </c>
      <c r="AN286" t="str">
        <f t="shared" si="19"/>
        <v>Other</v>
      </c>
    </row>
    <row r="287" spans="1:40">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c r="AK287" t="str">
        <f t="shared" si="16"/>
        <v>Technical</v>
      </c>
      <c r="AL287">
        <f t="shared" ca="1" si="17"/>
        <v>5</v>
      </c>
      <c r="AM287" t="str">
        <f t="shared" ca="1" si="18"/>
        <v>5-10 Years</v>
      </c>
      <c r="AN287" t="str">
        <f t="shared" si="19"/>
        <v>Other</v>
      </c>
    </row>
    <row r="288" spans="1:40">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c r="AK288" t="str">
        <f t="shared" si="16"/>
        <v>Non-Technical</v>
      </c>
      <c r="AL288">
        <f t="shared" ca="1" si="17"/>
        <v>3</v>
      </c>
      <c r="AM288" t="str">
        <f t="shared" ca="1" si="18"/>
        <v>2-5 Years</v>
      </c>
      <c r="AN288" t="str">
        <f t="shared" si="19"/>
        <v>Technician</v>
      </c>
    </row>
    <row r="289" spans="1:40">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W289" s="1"/>
      <c r="X289" t="s">
        <v>44</v>
      </c>
      <c r="Y289" t="s">
        <v>45</v>
      </c>
      <c r="Z289" t="s">
        <v>55</v>
      </c>
      <c r="AA289" t="s">
        <v>87</v>
      </c>
      <c r="AB289">
        <v>7</v>
      </c>
      <c r="AC289" t="s">
        <v>80</v>
      </c>
      <c r="AD289" t="s">
        <v>58</v>
      </c>
      <c r="AE289">
        <v>5</v>
      </c>
      <c r="AF289">
        <v>4</v>
      </c>
      <c r="AG289">
        <v>7</v>
      </c>
      <c r="AH289" s="1">
        <v>43479</v>
      </c>
      <c r="AI289">
        <v>0</v>
      </c>
      <c r="AJ289">
        <v>8</v>
      </c>
      <c r="AK289" t="str">
        <f t="shared" si="16"/>
        <v>Technical</v>
      </c>
      <c r="AL289">
        <f t="shared" ca="1" si="17"/>
        <v>11</v>
      </c>
      <c r="AM289" t="str">
        <f t="shared" ca="1" si="18"/>
        <v>10+ Years</v>
      </c>
      <c r="AN289" t="str">
        <f t="shared" si="19"/>
        <v>Other</v>
      </c>
    </row>
    <row r="290" spans="1:40">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W290" s="1"/>
      <c r="X290" t="s">
        <v>44</v>
      </c>
      <c r="Y290" t="s">
        <v>45</v>
      </c>
      <c r="Z290" t="s">
        <v>141</v>
      </c>
      <c r="AA290" t="s">
        <v>142</v>
      </c>
      <c r="AB290">
        <v>17</v>
      </c>
      <c r="AC290" t="s">
        <v>57</v>
      </c>
      <c r="AD290" t="s">
        <v>58</v>
      </c>
      <c r="AE290">
        <v>2.81</v>
      </c>
      <c r="AF290">
        <v>3</v>
      </c>
      <c r="AG290">
        <v>0</v>
      </c>
      <c r="AH290" s="1">
        <v>43482</v>
      </c>
      <c r="AI290">
        <v>0</v>
      </c>
      <c r="AJ290">
        <v>16</v>
      </c>
      <c r="AK290" t="str">
        <f t="shared" si="16"/>
        <v>Non-Technical</v>
      </c>
      <c r="AL290">
        <f t="shared" ca="1" si="17"/>
        <v>14</v>
      </c>
      <c r="AM290" t="str">
        <f t="shared" ca="1" si="18"/>
        <v>10+ Years</v>
      </c>
      <c r="AN290" t="str">
        <f t="shared" si="19"/>
        <v>Manager</v>
      </c>
    </row>
    <row r="291" spans="1:40">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c r="AK291" t="str">
        <f t="shared" si="16"/>
        <v>Non-Technical</v>
      </c>
      <c r="AL291">
        <f t="shared" ca="1" si="17"/>
        <v>3</v>
      </c>
      <c r="AM291" t="str">
        <f t="shared" ca="1" si="18"/>
        <v>2-5 Years</v>
      </c>
      <c r="AN291" t="str">
        <f t="shared" si="19"/>
        <v>Technician</v>
      </c>
    </row>
    <row r="292" spans="1:40">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W292" s="1"/>
      <c r="X292" t="s">
        <v>44</v>
      </c>
      <c r="Y292" t="s">
        <v>45</v>
      </c>
      <c r="Z292" t="s">
        <v>46</v>
      </c>
      <c r="AA292" t="s">
        <v>131</v>
      </c>
      <c r="AB292">
        <v>2</v>
      </c>
      <c r="AC292" t="s">
        <v>80</v>
      </c>
      <c r="AD292" t="s">
        <v>58</v>
      </c>
      <c r="AE292">
        <v>3.93</v>
      </c>
      <c r="AF292">
        <v>3</v>
      </c>
      <c r="AG292">
        <v>0</v>
      </c>
      <c r="AH292" s="1">
        <v>43523</v>
      </c>
      <c r="AI292">
        <v>0</v>
      </c>
      <c r="AJ292">
        <v>19</v>
      </c>
      <c r="AK292" t="str">
        <f t="shared" si="16"/>
        <v>Non-Technical</v>
      </c>
      <c r="AL292">
        <f t="shared" ca="1" si="17"/>
        <v>14</v>
      </c>
      <c r="AM292" t="str">
        <f t="shared" ca="1" si="18"/>
        <v>10+ Years</v>
      </c>
      <c r="AN292" t="str">
        <f t="shared" si="19"/>
        <v>Manager</v>
      </c>
    </row>
    <row r="293" spans="1:40">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W293" s="1"/>
      <c r="X293" t="s">
        <v>44</v>
      </c>
      <c r="Y293" t="s">
        <v>45</v>
      </c>
      <c r="Z293" t="s">
        <v>141</v>
      </c>
      <c r="AA293" t="s">
        <v>142</v>
      </c>
      <c r="AB293">
        <v>17</v>
      </c>
      <c r="AC293" t="s">
        <v>201</v>
      </c>
      <c r="AD293" t="s">
        <v>58</v>
      </c>
      <c r="AE293">
        <v>4.5</v>
      </c>
      <c r="AF293">
        <v>4</v>
      </c>
      <c r="AG293">
        <v>0</v>
      </c>
      <c r="AH293" s="1">
        <v>43483</v>
      </c>
      <c r="AI293">
        <v>0</v>
      </c>
      <c r="AJ293">
        <v>11</v>
      </c>
      <c r="AK293" t="str">
        <f t="shared" si="16"/>
        <v>Non-Technical</v>
      </c>
      <c r="AL293">
        <f t="shared" ca="1" si="17"/>
        <v>14</v>
      </c>
      <c r="AM293" t="str">
        <f t="shared" ca="1" si="18"/>
        <v>10+ Years</v>
      </c>
      <c r="AN293" t="str">
        <f t="shared" si="19"/>
        <v>Manager</v>
      </c>
    </row>
    <row r="294" spans="1:40">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c r="AK294" t="str">
        <f t="shared" si="16"/>
        <v>Technical</v>
      </c>
      <c r="AL294">
        <f t="shared" ca="1" si="17"/>
        <v>2</v>
      </c>
      <c r="AM294" t="str">
        <f t="shared" ca="1" si="18"/>
        <v>2-5 Years</v>
      </c>
      <c r="AN294" t="str">
        <f t="shared" si="19"/>
        <v>Other</v>
      </c>
    </row>
    <row r="295" spans="1:40">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c r="AK295" t="str">
        <f t="shared" si="16"/>
        <v>Non-Technical</v>
      </c>
      <c r="AL295">
        <f t="shared" ca="1" si="17"/>
        <v>4</v>
      </c>
      <c r="AM295" t="str">
        <f t="shared" ca="1" si="18"/>
        <v>2-5 Years</v>
      </c>
      <c r="AN295" t="str">
        <f t="shared" si="19"/>
        <v>Technician</v>
      </c>
    </row>
    <row r="296" spans="1:40">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W296" s="1"/>
      <c r="X296" t="s">
        <v>44</v>
      </c>
      <c r="Y296" t="s">
        <v>45</v>
      </c>
      <c r="Z296" t="s">
        <v>46</v>
      </c>
      <c r="AA296" t="s">
        <v>47</v>
      </c>
      <c r="AB296">
        <v>22</v>
      </c>
      <c r="AC296" t="s">
        <v>48</v>
      </c>
      <c r="AD296" t="s">
        <v>58</v>
      </c>
      <c r="AE296">
        <v>3.21</v>
      </c>
      <c r="AF296">
        <v>3</v>
      </c>
      <c r="AG296">
        <v>0</v>
      </c>
      <c r="AH296" s="1">
        <v>43494</v>
      </c>
      <c r="AI296">
        <v>0</v>
      </c>
      <c r="AJ296">
        <v>7</v>
      </c>
      <c r="AK296" t="str">
        <f t="shared" si="16"/>
        <v>Non-Technical</v>
      </c>
      <c r="AL296">
        <f t="shared" ca="1" si="17"/>
        <v>10</v>
      </c>
      <c r="AM296" t="str">
        <f t="shared" ca="1" si="18"/>
        <v>10+ Years</v>
      </c>
      <c r="AN296" t="str">
        <f t="shared" si="19"/>
        <v>Technician</v>
      </c>
    </row>
    <row r="297" spans="1:40">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W297" s="1"/>
      <c r="X297" t="s">
        <v>44</v>
      </c>
      <c r="Y297" t="s">
        <v>45</v>
      </c>
      <c r="Z297" t="s">
        <v>46</v>
      </c>
      <c r="AA297" t="s">
        <v>79</v>
      </c>
      <c r="AB297">
        <v>19</v>
      </c>
      <c r="AC297" t="s">
        <v>80</v>
      </c>
      <c r="AD297" t="s">
        <v>58</v>
      </c>
      <c r="AE297">
        <v>3.11</v>
      </c>
      <c r="AF297">
        <v>5</v>
      </c>
      <c r="AG297">
        <v>0</v>
      </c>
      <c r="AH297" s="1">
        <v>43508</v>
      </c>
      <c r="AI297">
        <v>0</v>
      </c>
      <c r="AJ297">
        <v>4</v>
      </c>
      <c r="AK297" t="str">
        <f t="shared" si="16"/>
        <v>Non-Technical</v>
      </c>
      <c r="AL297">
        <f t="shared" ca="1" si="17"/>
        <v>11</v>
      </c>
      <c r="AM297" t="str">
        <f t="shared" ca="1" si="18"/>
        <v>10+ Years</v>
      </c>
      <c r="AN297" t="str">
        <f t="shared" si="19"/>
        <v>Technician</v>
      </c>
    </row>
    <row r="298" spans="1:40">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c r="AK298" t="str">
        <f t="shared" si="16"/>
        <v>Non-Technical</v>
      </c>
      <c r="AL298">
        <f t="shared" ca="1" si="17"/>
        <v>0</v>
      </c>
      <c r="AM298" t="str">
        <f t="shared" ca="1" si="18"/>
        <v>0-2 Years</v>
      </c>
      <c r="AN298" t="str">
        <f t="shared" si="19"/>
        <v>Manager</v>
      </c>
    </row>
    <row r="299" spans="1:40">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c r="AK299" t="str">
        <f t="shared" si="16"/>
        <v>Non-Technical</v>
      </c>
      <c r="AL299">
        <f t="shared" ca="1" si="17"/>
        <v>3</v>
      </c>
      <c r="AM299" t="str">
        <f t="shared" ca="1" si="18"/>
        <v>2-5 Years</v>
      </c>
      <c r="AN299" t="str">
        <f t="shared" si="19"/>
        <v>Technician</v>
      </c>
    </row>
    <row r="300" spans="1:40">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W300" s="1"/>
      <c r="X300" t="s">
        <v>44</v>
      </c>
      <c r="Y300" t="s">
        <v>45</v>
      </c>
      <c r="Z300" t="s">
        <v>55</v>
      </c>
      <c r="AA300" t="s">
        <v>197</v>
      </c>
      <c r="AB300">
        <v>13</v>
      </c>
      <c r="AC300" t="s">
        <v>57</v>
      </c>
      <c r="AD300" t="s">
        <v>58</v>
      </c>
      <c r="AE300">
        <v>3.42</v>
      </c>
      <c r="AF300">
        <v>4</v>
      </c>
      <c r="AG300">
        <v>7</v>
      </c>
      <c r="AH300" s="1">
        <v>43469</v>
      </c>
      <c r="AI300">
        <v>0</v>
      </c>
      <c r="AJ300">
        <v>17</v>
      </c>
      <c r="AK300" t="str">
        <f t="shared" si="16"/>
        <v>Technical</v>
      </c>
      <c r="AL300">
        <f t="shared" ca="1" si="17"/>
        <v>9</v>
      </c>
      <c r="AM300" t="str">
        <f t="shared" ca="1" si="18"/>
        <v>5-10 Years</v>
      </c>
      <c r="AN300" t="str">
        <f t="shared" si="19"/>
        <v>Other</v>
      </c>
    </row>
    <row r="301" spans="1:40">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W301" s="1"/>
      <c r="X301" t="s">
        <v>44</v>
      </c>
      <c r="Y301" t="s">
        <v>45</v>
      </c>
      <c r="Z301" t="s">
        <v>55</v>
      </c>
      <c r="AA301" t="s">
        <v>87</v>
      </c>
      <c r="AB301">
        <v>7</v>
      </c>
      <c r="AC301" t="s">
        <v>80</v>
      </c>
      <c r="AD301" t="s">
        <v>58</v>
      </c>
      <c r="AE301">
        <v>4.2</v>
      </c>
      <c r="AF301">
        <v>4</v>
      </c>
      <c r="AG301">
        <v>8</v>
      </c>
      <c r="AH301" s="1">
        <v>43501</v>
      </c>
      <c r="AI301">
        <v>0</v>
      </c>
      <c r="AJ301">
        <v>7</v>
      </c>
      <c r="AK301" t="str">
        <f t="shared" si="16"/>
        <v>Technical</v>
      </c>
      <c r="AL301">
        <f t="shared" ca="1" si="17"/>
        <v>11</v>
      </c>
      <c r="AM301" t="str">
        <f t="shared" ca="1" si="18"/>
        <v>10+ Years</v>
      </c>
      <c r="AN301" t="str">
        <f t="shared" si="19"/>
        <v>Other</v>
      </c>
    </row>
    <row r="302" spans="1:40">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c r="AK302" t="str">
        <f t="shared" si="16"/>
        <v>Non-Technical</v>
      </c>
      <c r="AL302">
        <f t="shared" ca="1" si="17"/>
        <v>3</v>
      </c>
      <c r="AM302" t="str">
        <f t="shared" ca="1" si="18"/>
        <v>2-5 Years</v>
      </c>
      <c r="AN302" t="str">
        <f t="shared" si="19"/>
        <v>Technician</v>
      </c>
    </row>
    <row r="303" spans="1:40">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c r="AK303" t="str">
        <f t="shared" si="16"/>
        <v>Non-Technical</v>
      </c>
      <c r="AL303">
        <f t="shared" ca="1" si="17"/>
        <v>4</v>
      </c>
      <c r="AM303" t="str">
        <f t="shared" ca="1" si="18"/>
        <v>2-5 Years</v>
      </c>
      <c r="AN303" t="str">
        <f t="shared" si="19"/>
        <v>Technician</v>
      </c>
    </row>
    <row r="304" spans="1:40">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c r="AK304" t="str">
        <f t="shared" si="16"/>
        <v>Non-Technical</v>
      </c>
      <c r="AL304">
        <f t="shared" ca="1" si="17"/>
        <v>1</v>
      </c>
      <c r="AM304" t="str">
        <f t="shared" ca="1" si="18"/>
        <v>0-2 Years</v>
      </c>
      <c r="AN304" t="str">
        <f t="shared" si="19"/>
        <v>Technician</v>
      </c>
    </row>
    <row r="305" spans="1:40">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c r="AK305" t="str">
        <f t="shared" si="16"/>
        <v>Non-Technical</v>
      </c>
      <c r="AL305">
        <f t="shared" ca="1" si="17"/>
        <v>3</v>
      </c>
      <c r="AM305" t="str">
        <f t="shared" ca="1" si="18"/>
        <v>2-5 Years</v>
      </c>
      <c r="AN305" t="str">
        <f t="shared" si="19"/>
        <v>Technician</v>
      </c>
    </row>
    <row r="306" spans="1:40">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c r="AK306" t="str">
        <f t="shared" si="16"/>
        <v>Non-Technical</v>
      </c>
      <c r="AL306">
        <f t="shared" ca="1" si="17"/>
        <v>3</v>
      </c>
      <c r="AM306" t="str">
        <f t="shared" ca="1" si="18"/>
        <v>2-5 Years</v>
      </c>
      <c r="AN306" t="str">
        <f t="shared" si="19"/>
        <v>Technician</v>
      </c>
    </row>
    <row r="307" spans="1:40">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W307" s="1"/>
      <c r="X307" t="s">
        <v>44</v>
      </c>
      <c r="Y307" t="s">
        <v>45</v>
      </c>
      <c r="Z307" t="s">
        <v>46</v>
      </c>
      <c r="AA307" t="s">
        <v>91</v>
      </c>
      <c r="AB307">
        <v>14</v>
      </c>
      <c r="AC307" t="s">
        <v>48</v>
      </c>
      <c r="AD307" t="s">
        <v>58</v>
      </c>
      <c r="AE307">
        <v>3.4</v>
      </c>
      <c r="AF307">
        <v>4</v>
      </c>
      <c r="AG307">
        <v>0</v>
      </c>
      <c r="AH307" s="1">
        <v>43517</v>
      </c>
      <c r="AI307">
        <v>0</v>
      </c>
      <c r="AJ307">
        <v>14</v>
      </c>
      <c r="AK307" t="str">
        <f t="shared" si="16"/>
        <v>Non-Technical</v>
      </c>
      <c r="AL307">
        <f t="shared" ca="1" si="17"/>
        <v>11</v>
      </c>
      <c r="AM307" t="str">
        <f t="shared" ca="1" si="18"/>
        <v>10+ Years</v>
      </c>
      <c r="AN307" t="str">
        <f t="shared" si="19"/>
        <v>Technician</v>
      </c>
    </row>
    <row r="308" spans="1:40">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W308" s="1"/>
      <c r="X308" t="s">
        <v>44</v>
      </c>
      <c r="Y308" t="s">
        <v>45</v>
      </c>
      <c r="Z308" t="s">
        <v>46</v>
      </c>
      <c r="AA308" t="s">
        <v>63</v>
      </c>
      <c r="AB308">
        <v>20</v>
      </c>
      <c r="AC308" t="s">
        <v>48</v>
      </c>
      <c r="AD308" t="s">
        <v>58</v>
      </c>
      <c r="AE308">
        <v>4.07</v>
      </c>
      <c r="AF308">
        <v>4</v>
      </c>
      <c r="AG308">
        <v>0</v>
      </c>
      <c r="AH308" s="1">
        <v>43524</v>
      </c>
      <c r="AI308">
        <v>0</v>
      </c>
      <c r="AJ308">
        <v>13</v>
      </c>
      <c r="AK308" t="str">
        <f t="shared" si="16"/>
        <v>Non-Technical</v>
      </c>
      <c r="AL308">
        <f t="shared" ca="1" si="17"/>
        <v>11</v>
      </c>
      <c r="AM308" t="str">
        <f t="shared" ca="1" si="18"/>
        <v>10+ Years</v>
      </c>
      <c r="AN308" t="str">
        <f t="shared" si="19"/>
        <v>Technician</v>
      </c>
    </row>
    <row r="309" spans="1:40">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c r="AK309" t="str">
        <f t="shared" si="16"/>
        <v>Non-Technical</v>
      </c>
      <c r="AL309">
        <f t="shared" ca="1" si="17"/>
        <v>7</v>
      </c>
      <c r="AM309" t="str">
        <f t="shared" ca="1" si="18"/>
        <v>5-10 Years</v>
      </c>
      <c r="AN309" t="str">
        <f t="shared" si="19"/>
        <v>Technician</v>
      </c>
    </row>
    <row r="310" spans="1:40">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W310" s="1"/>
      <c r="X310" t="s">
        <v>44</v>
      </c>
      <c r="Y310" t="s">
        <v>45</v>
      </c>
      <c r="Z310" t="s">
        <v>55</v>
      </c>
      <c r="AA310" t="s">
        <v>131</v>
      </c>
      <c r="AB310">
        <v>2</v>
      </c>
      <c r="AC310" t="s">
        <v>80</v>
      </c>
      <c r="AD310" t="s">
        <v>49</v>
      </c>
      <c r="AE310">
        <v>4.5999999999999996</v>
      </c>
      <c r="AF310">
        <v>5</v>
      </c>
      <c r="AG310">
        <v>6</v>
      </c>
      <c r="AH310" s="1">
        <v>43517</v>
      </c>
      <c r="AI310">
        <v>0</v>
      </c>
      <c r="AJ310">
        <v>16</v>
      </c>
      <c r="AK310" t="str">
        <f t="shared" si="16"/>
        <v>Technical</v>
      </c>
      <c r="AL310">
        <f t="shared" ca="1" si="17"/>
        <v>16</v>
      </c>
      <c r="AM310" t="str">
        <f t="shared" ca="1" si="18"/>
        <v>10+ Years</v>
      </c>
      <c r="AN310" t="str">
        <f t="shared" si="19"/>
        <v>Other</v>
      </c>
    </row>
    <row r="311" spans="1:40">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W311" s="1"/>
      <c r="X311" t="s">
        <v>44</v>
      </c>
      <c r="Y311" t="s">
        <v>45</v>
      </c>
      <c r="Z311" t="s">
        <v>55</v>
      </c>
      <c r="AA311" t="s">
        <v>56</v>
      </c>
      <c r="AB311">
        <v>4</v>
      </c>
      <c r="AC311" t="s">
        <v>80</v>
      </c>
      <c r="AD311" t="s">
        <v>58</v>
      </c>
      <c r="AE311">
        <v>5</v>
      </c>
      <c r="AF311">
        <v>3</v>
      </c>
      <c r="AG311">
        <v>5</v>
      </c>
      <c r="AH311" s="1">
        <v>43497</v>
      </c>
      <c r="AI311">
        <v>0</v>
      </c>
      <c r="AJ311">
        <v>11</v>
      </c>
      <c r="AK311" t="str">
        <f t="shared" si="16"/>
        <v>Technical</v>
      </c>
      <c r="AL311">
        <f t="shared" ca="1" si="17"/>
        <v>11</v>
      </c>
      <c r="AM311" t="str">
        <f t="shared" ca="1" si="18"/>
        <v>10+ Years</v>
      </c>
      <c r="AN311" t="str">
        <f t="shared" si="19"/>
        <v>Other</v>
      </c>
    </row>
    <row r="312" spans="1:40">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W312" s="1"/>
      <c r="X312" t="s">
        <v>44</v>
      </c>
      <c r="Y312" t="s">
        <v>45</v>
      </c>
      <c r="Z312" t="s">
        <v>46</v>
      </c>
      <c r="AA312" t="s">
        <v>91</v>
      </c>
      <c r="AB312">
        <v>14</v>
      </c>
      <c r="AC312" t="s">
        <v>48</v>
      </c>
      <c r="AD312" t="s">
        <v>58</v>
      </c>
      <c r="AE312">
        <v>4.5</v>
      </c>
      <c r="AF312">
        <v>5</v>
      </c>
      <c r="AG312">
        <v>0</v>
      </c>
      <c r="AH312" s="1">
        <v>43495</v>
      </c>
      <c r="AI312">
        <v>0</v>
      </c>
      <c r="AJ312">
        <v>2</v>
      </c>
      <c r="AK312" t="str">
        <f t="shared" si="16"/>
        <v>Non-Technical</v>
      </c>
      <c r="AL312">
        <f t="shared" ca="1" si="17"/>
        <v>11</v>
      </c>
      <c r="AM312" t="str">
        <f t="shared" ca="1" si="18"/>
        <v>10+ Years</v>
      </c>
      <c r="AN312" t="str">
        <f t="shared" si="19"/>
        <v>Technician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7251-4A2E-43EE-A9F5-4D5B4C64A6AA}">
  <dimension ref="A1:H24"/>
  <sheetViews>
    <sheetView showGridLines="0" tabSelected="1" workbookViewId="0">
      <selection activeCell="J8" sqref="J8"/>
    </sheetView>
  </sheetViews>
  <sheetFormatPr defaultRowHeight="14.4"/>
  <cols>
    <col min="1" max="1" width="18.88671875" bestFit="1" customWidth="1"/>
    <col min="2" max="2" width="15.77734375" bestFit="1" customWidth="1"/>
    <col min="4" max="4" width="19.5546875" bestFit="1" customWidth="1"/>
    <col min="5" max="5" width="15.77734375" bestFit="1" customWidth="1"/>
    <col min="6" max="6" width="9.5546875" customWidth="1"/>
    <col min="7" max="7" width="20.5546875" bestFit="1" customWidth="1"/>
    <col min="8" max="8" width="15.77734375" bestFit="1" customWidth="1"/>
    <col min="10" max="10" width="12.5546875" bestFit="1" customWidth="1"/>
    <col min="11" max="11" width="15.77734375" bestFit="1" customWidth="1"/>
  </cols>
  <sheetData>
    <row r="1" spans="1:8">
      <c r="A1" s="6" t="s">
        <v>503</v>
      </c>
      <c r="B1" s="7"/>
      <c r="C1" s="7"/>
      <c r="D1" s="7"/>
      <c r="E1" s="7"/>
      <c r="F1" s="7"/>
      <c r="G1" s="7"/>
      <c r="H1" s="7"/>
    </row>
    <row r="2" spans="1:8">
      <c r="A2" s="7"/>
      <c r="B2" s="7"/>
      <c r="C2" s="7"/>
      <c r="D2" s="7"/>
      <c r="E2" s="7"/>
      <c r="F2" s="7"/>
      <c r="G2" s="7"/>
      <c r="H2" s="7"/>
    </row>
    <row r="4" spans="1:8">
      <c r="A4" s="8" t="s">
        <v>493</v>
      </c>
      <c r="B4" s="8"/>
      <c r="D4" s="8" t="s">
        <v>504</v>
      </c>
      <c r="E4" s="9"/>
      <c r="G4" s="8" t="s">
        <v>505</v>
      </c>
      <c r="H4" s="8"/>
    </row>
    <row r="5" spans="1:8">
      <c r="A5" s="2" t="s">
        <v>490</v>
      </c>
      <c r="B5" t="s">
        <v>492</v>
      </c>
      <c r="D5" s="2" t="s">
        <v>495</v>
      </c>
      <c r="E5" t="s">
        <v>492</v>
      </c>
      <c r="G5" s="2" t="s">
        <v>495</v>
      </c>
      <c r="H5" t="s">
        <v>492</v>
      </c>
    </row>
    <row r="6" spans="1:8">
      <c r="A6" s="3" t="s">
        <v>302</v>
      </c>
      <c r="B6" s="5">
        <v>250000</v>
      </c>
      <c r="D6" s="3" t="s">
        <v>301</v>
      </c>
      <c r="E6" s="5">
        <v>250000</v>
      </c>
      <c r="G6" s="3" t="s">
        <v>279</v>
      </c>
      <c r="H6" s="5">
        <v>52280</v>
      </c>
    </row>
    <row r="7" spans="1:8">
      <c r="A7" s="3" t="s">
        <v>55</v>
      </c>
      <c r="B7" s="5">
        <v>97064.639999999999</v>
      </c>
      <c r="D7" s="3" t="s">
        <v>485</v>
      </c>
      <c r="E7" s="5">
        <v>220450</v>
      </c>
      <c r="G7" s="3" t="s">
        <v>37</v>
      </c>
      <c r="H7" s="5">
        <v>55524.175182481755</v>
      </c>
    </row>
    <row r="8" spans="1:8">
      <c r="A8" s="3" t="s">
        <v>75</v>
      </c>
      <c r="B8" s="5">
        <v>94989.454545454544</v>
      </c>
      <c r="D8" s="3" t="s">
        <v>276</v>
      </c>
      <c r="E8" s="5">
        <v>180000</v>
      </c>
      <c r="G8" s="3" t="s">
        <v>225</v>
      </c>
      <c r="H8" s="5">
        <v>61605</v>
      </c>
    </row>
    <row r="9" spans="1:8">
      <c r="A9" s="3" t="s">
        <v>126</v>
      </c>
      <c r="B9" s="5">
        <v>71791.888888888891</v>
      </c>
      <c r="D9" s="3" t="s">
        <v>232</v>
      </c>
      <c r="E9" s="5">
        <v>178000</v>
      </c>
      <c r="G9" s="3" t="s">
        <v>134</v>
      </c>
      <c r="H9" s="5">
        <v>63507.666666666664</v>
      </c>
    </row>
    <row r="10" spans="1:8">
      <c r="A10" s="3" t="s">
        <v>141</v>
      </c>
      <c r="B10" s="5">
        <v>69061.258064516136</v>
      </c>
      <c r="D10" s="3" t="s">
        <v>174</v>
      </c>
      <c r="E10" s="5">
        <v>170500</v>
      </c>
      <c r="G10" s="3" t="s">
        <v>86</v>
      </c>
      <c r="H10" s="5">
        <v>63684.375</v>
      </c>
    </row>
    <row r="11" spans="1:8">
      <c r="A11" s="3" t="s">
        <v>46</v>
      </c>
      <c r="B11" s="5">
        <v>59953.545454545456</v>
      </c>
      <c r="D11" s="3" t="s">
        <v>489</v>
      </c>
      <c r="E11" s="5">
        <v>199790</v>
      </c>
      <c r="G11" s="3" t="s">
        <v>489</v>
      </c>
      <c r="H11" s="5">
        <v>56228.685897435898</v>
      </c>
    </row>
    <row r="12" spans="1:8">
      <c r="A12" s="3" t="s">
        <v>489</v>
      </c>
      <c r="B12" s="5">
        <v>69020.684887459807</v>
      </c>
    </row>
    <row r="18" spans="1:8">
      <c r="A18" s="8" t="s">
        <v>498</v>
      </c>
      <c r="B18" s="9"/>
      <c r="D18" s="8" t="s">
        <v>494</v>
      </c>
      <c r="E18" s="9"/>
      <c r="G18" s="8" t="s">
        <v>502</v>
      </c>
      <c r="H18" s="9"/>
    </row>
    <row r="19" spans="1:8">
      <c r="A19" s="2" t="s">
        <v>488</v>
      </c>
      <c r="B19" t="s">
        <v>492</v>
      </c>
      <c r="D19" s="2" t="s">
        <v>16</v>
      </c>
      <c r="E19" t="s">
        <v>492</v>
      </c>
      <c r="G19" s="2" t="s">
        <v>488</v>
      </c>
      <c r="H19" t="s">
        <v>492</v>
      </c>
    </row>
    <row r="20" spans="1:8">
      <c r="A20" s="3" t="s">
        <v>49</v>
      </c>
      <c r="B20" s="5">
        <v>77144.864864864867</v>
      </c>
      <c r="D20" s="3" t="s">
        <v>39</v>
      </c>
      <c r="E20" s="5">
        <v>70629.399999999994</v>
      </c>
      <c r="G20" s="3" t="s">
        <v>500</v>
      </c>
      <c r="H20" s="5">
        <v>75431.34</v>
      </c>
    </row>
    <row r="21" spans="1:8">
      <c r="A21" s="3" t="s">
        <v>118</v>
      </c>
      <c r="B21" s="5">
        <v>68407.555555555562</v>
      </c>
      <c r="D21" s="3" t="s">
        <v>61</v>
      </c>
      <c r="E21" s="5">
        <v>67786.727272727279</v>
      </c>
      <c r="G21" s="3" t="s">
        <v>501</v>
      </c>
      <c r="H21" s="5">
        <v>58276.639175257733</v>
      </c>
    </row>
    <row r="22" spans="1:8">
      <c r="A22" s="3" t="s">
        <v>58</v>
      </c>
      <c r="B22" s="5">
        <v>68366.720164609054</v>
      </c>
      <c r="D22" s="3" t="s">
        <v>489</v>
      </c>
      <c r="E22" s="5">
        <v>69020.684887459807</v>
      </c>
      <c r="G22" s="3" t="s">
        <v>489</v>
      </c>
      <c r="H22" s="5">
        <v>61791.946721311477</v>
      </c>
    </row>
    <row r="23" spans="1:8">
      <c r="A23" s="3" t="s">
        <v>191</v>
      </c>
      <c r="B23" s="5">
        <v>58971.076923076922</v>
      </c>
    </row>
    <row r="24" spans="1:8">
      <c r="A24" s="3" t="s">
        <v>489</v>
      </c>
      <c r="B24" s="5">
        <v>69020.684887459807</v>
      </c>
    </row>
  </sheetData>
  <mergeCells count="7">
    <mergeCell ref="A1:H2"/>
    <mergeCell ref="A4:B4"/>
    <mergeCell ref="D4:E4"/>
    <mergeCell ref="G4:H4"/>
    <mergeCell ref="D18:E18"/>
    <mergeCell ref="A18:B18"/>
    <mergeCell ref="G18:H18"/>
  </mergeCells>
  <conditionalFormatting sqref="B5">
    <cfRule type="colorScale" priority="7">
      <colorScale>
        <cfvo type="min"/>
        <cfvo type="percentile" val="50"/>
        <cfvo type="max"/>
        <color rgb="FFF8696B"/>
        <color rgb="FFFFEB84"/>
        <color rgb="FF63BE7B"/>
      </colorScale>
    </cfRule>
  </conditionalFormatting>
  <conditionalFormatting pivot="1" sqref="B6:B11">
    <cfRule type="colorScale" priority="6">
      <colorScale>
        <cfvo type="min"/>
        <cfvo type="percentile" val="50"/>
        <cfvo type="max"/>
        <color rgb="FFF8696B"/>
        <color rgb="FFFFEB84"/>
        <color rgb="FF63BE7B"/>
      </colorScale>
    </cfRule>
  </conditionalFormatting>
  <conditionalFormatting pivot="1" sqref="E6:E10">
    <cfRule type="colorScale" priority="5">
      <colorScale>
        <cfvo type="min"/>
        <cfvo type="percentile" val="50"/>
        <cfvo type="max"/>
        <color rgb="FFF8696B"/>
        <color rgb="FFFFEB84"/>
        <color rgb="FF63BE7B"/>
      </colorScale>
    </cfRule>
  </conditionalFormatting>
  <conditionalFormatting pivot="1" sqref="H6:H10">
    <cfRule type="colorScale" priority="4">
      <colorScale>
        <cfvo type="min"/>
        <cfvo type="percentile" val="50"/>
        <cfvo type="max"/>
        <color rgb="FFF8696B"/>
        <color rgb="FFFFEB84"/>
        <color rgb="FF63BE7B"/>
      </colorScale>
    </cfRule>
  </conditionalFormatting>
  <conditionalFormatting pivot="1" sqref="E20:E21">
    <cfRule type="colorScale" priority="3">
      <colorScale>
        <cfvo type="min"/>
        <cfvo type="percentile" val="50"/>
        <cfvo type="max"/>
        <color rgb="FFF8696B"/>
        <color rgb="FFFFEB84"/>
        <color rgb="FF63BE7B"/>
      </colorScale>
    </cfRule>
  </conditionalFormatting>
  <conditionalFormatting pivot="1" sqref="B20:B23">
    <cfRule type="colorScale" priority="2">
      <colorScale>
        <cfvo type="min"/>
        <cfvo type="percentile" val="50"/>
        <cfvo type="max"/>
        <color rgb="FFF8696B"/>
        <color rgb="FFFFEB84"/>
        <color rgb="FF63BE7B"/>
      </colorScale>
    </cfRule>
  </conditionalFormatting>
  <conditionalFormatting pivot="1" sqref="H20: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DBD7-8791-4037-947A-E78603109752}">
  <dimension ref="AI1:AI3"/>
  <sheetViews>
    <sheetView showGridLines="0" workbookViewId="0">
      <selection activeCell="P2" sqref="P2"/>
    </sheetView>
  </sheetViews>
  <sheetFormatPr defaultRowHeight="14.4"/>
  <sheetData>
    <row r="1" spans="35:35">
      <c r="AI1" t="str">
        <f>TEXT('Emp Salary Analysis – Summary'!B12/1000,"$0") &amp; "K"</f>
        <v>$69K</v>
      </c>
    </row>
    <row r="2" spans="35:35">
      <c r="AI2" t="str">
        <f xml:space="preserve"> 'Emp Salary Analysis – Summary'!D6 &amp; " (" &amp; TEXT('Emp Salary Analysis – Summary'!E6/1000,"$0") &amp; "K)"</f>
        <v>President &amp; CEO ($250K)</v>
      </c>
    </row>
    <row r="3" spans="35:35">
      <c r="AI3" t="str">
        <f xml:space="preserve"> 'Emp Salary Analysis – Summary'!G6 &amp; " (" &amp; TEXT('Emp Salary Analysis – Summary'!H6/1000,"$0") &amp; "K)"</f>
        <v>Administrative Assistant ($52K)</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06DD1F-C6CF-42D5-A64A-DD11BE1C9F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HRDataset_v14</vt:lpstr>
      <vt:lpstr>Emp Salary Analysis – Summary</vt:lpstr>
      <vt:lpstr>HR Salary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Hetal Ganatra</dc:creator>
  <cp:lastModifiedBy>Hetal Ganatra</cp:lastModifiedBy>
  <dcterms:created xsi:type="dcterms:W3CDTF">2015-06-05T18:17:20Z</dcterms:created>
  <dcterms:modified xsi:type="dcterms:W3CDTF">2026-04-21T18:21:59Z</dcterms:modified>
</cp:coreProperties>
</file>